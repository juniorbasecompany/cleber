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PROFISSIONAL/Faria/ADM/Financeiro/Metas/2022/1 Alojamento/"/>
    </mc:Choice>
  </mc:AlternateContent>
  <xr:revisionPtr revIDLastSave="0" documentId="13_ncr:1_{E7AA9B9C-9F1F-5546-AC42-74C6C3B3BE91}" xr6:coauthVersionLast="47" xr6:coauthVersionMax="47" xr10:uidLastSave="{00000000-0000-0000-0000-000000000000}"/>
  <bookViews>
    <workbookView xWindow="0" yWindow="460" windowWidth="18080" windowHeight="16560" xr2:uid="{1E8E13EF-4AB5-BB49-9FD1-81AEF114FE30}"/>
  </bookViews>
  <sheets>
    <sheet name="Simulador" sheetId="9" r:id="rId1"/>
  </sheets>
  <externalReferences>
    <externalReference r:id="rId2"/>
    <externalReference r:id="rId3"/>
    <externalReference r:id="rId4"/>
    <externalReference r:id="rId5"/>
  </externalReferences>
  <definedNames>
    <definedName name="_9_8_2009" localSheetId="0">#REF!</definedName>
    <definedName name="_9_8_2009">#REF!</definedName>
    <definedName name="AAAAAA" localSheetId="0">#REF!</definedName>
    <definedName name="AAAAAA">#REF!</definedName>
    <definedName name="Ativo" localSheetId="0">#REF!</definedName>
    <definedName name="Ativo">#REF!</definedName>
    <definedName name="CIFRAO">'[1]Entrada Dados - Relatório'!$F$7</definedName>
    <definedName name="cpRegistro">"Caixa de texto 111"</definedName>
    <definedName name="DRE" localSheetId="0">#REF!</definedName>
    <definedName name="DRE">#REF!</definedName>
    <definedName name="fcaixa" localSheetId="0">#REF!</definedName>
    <definedName name="fcaixa">#REF!</definedName>
    <definedName name="fimtituloverso" localSheetId="0">'[2]PTP crerscimento'!#REF!</definedName>
    <definedName name="fimtituloverso">'[2]PTP crerscimento'!#REF!</definedName>
    <definedName name="fimverso" localSheetId="0">'[2]PTP crerscimento'!#REF!</definedName>
    <definedName name="fimverso">'[2]PTP crerscimento'!#REF!</definedName>
    <definedName name="_xlnm.Recorder">[3]Plan1!$A$1:$A$65536</definedName>
    <definedName name="IND" localSheetId="0">#REF!</definedName>
    <definedName name="IND">#REF!</definedName>
    <definedName name="initituloverso" localSheetId="0">'[2]PTP crerscimento'!#REF!</definedName>
    <definedName name="initituloverso">'[2]PTP crerscimento'!#REF!</definedName>
    <definedName name="iniverso" localSheetId="0">'[2]PTP crerscimento'!#REF!</definedName>
    <definedName name="iniverso">'[2]PTP crerscimento'!#REF!</definedName>
    <definedName name="Passivo" localSheetId="0">#REF!</definedName>
    <definedName name="Passivo">#REF!</definedName>
    <definedName name="segura" localSheetId="0">#REF!</definedName>
    <definedName name="segura">#REF!</definedName>
    <definedName name="VPL" localSheetId="0">#REF!</definedName>
    <definedName name="VPL">#REF!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F223" i="9" l="1"/>
  <c r="CF217" i="9"/>
  <c r="CA56" i="9"/>
  <c r="CA55" i="9"/>
  <c r="CB1" i="9" l="1"/>
  <c r="CA1" i="9" l="1"/>
  <c r="S2" i="9" l="1"/>
  <c r="M2" i="9" s="1"/>
  <c r="R2" i="9"/>
  <c r="L2" i="9" s="1"/>
  <c r="Q2" i="9"/>
  <c r="K2" i="9" s="1"/>
  <c r="P2" i="9"/>
  <c r="J2" i="9" s="1"/>
  <c r="O2" i="9"/>
  <c r="I2" i="9" s="1"/>
  <c r="T2" i="9"/>
  <c r="N2" i="9" s="1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H5" i="9" l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H155" i="9" s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4" i="9" s="1"/>
  <c r="H325" i="9" s="1"/>
  <c r="H326" i="9" s="1"/>
  <c r="H327" i="9" s="1"/>
  <c r="H328" i="9" s="1"/>
  <c r="H329" i="9" s="1"/>
  <c r="H330" i="9" s="1"/>
  <c r="H331" i="9" s="1"/>
  <c r="H332" i="9" s="1"/>
  <c r="H333" i="9" s="1"/>
  <c r="H334" i="9" s="1"/>
  <c r="H335" i="9" s="1"/>
  <c r="H336" i="9" s="1"/>
  <c r="H337" i="9" s="1"/>
  <c r="H338" i="9" s="1"/>
  <c r="H339" i="9" s="1"/>
  <c r="H340" i="9" s="1"/>
  <c r="H341" i="9" s="1"/>
  <c r="H342" i="9" s="1"/>
  <c r="H343" i="9" s="1"/>
  <c r="H344" i="9" s="1"/>
  <c r="H345" i="9" s="1"/>
  <c r="H346" i="9" s="1"/>
  <c r="H347" i="9" s="1"/>
  <c r="H348" i="9" s="1"/>
  <c r="H349" i="9" s="1"/>
  <c r="H350" i="9" s="1"/>
  <c r="H351" i="9" s="1"/>
  <c r="H352" i="9" s="1"/>
  <c r="H353" i="9" s="1"/>
  <c r="H354" i="9" s="1"/>
  <c r="H355" i="9" s="1"/>
  <c r="H356" i="9" s="1"/>
  <c r="H357" i="9" s="1"/>
  <c r="H358" i="9" s="1"/>
  <c r="H359" i="9" s="1"/>
  <c r="H360" i="9" s="1"/>
  <c r="H361" i="9" s="1"/>
  <c r="H362" i="9" s="1"/>
  <c r="H363" i="9" s="1"/>
  <c r="H364" i="9" s="1"/>
  <c r="H365" i="9" s="1"/>
  <c r="H366" i="9" s="1"/>
  <c r="H367" i="9" s="1"/>
  <c r="H368" i="9" s="1"/>
  <c r="H369" i="9" s="1"/>
  <c r="H370" i="9" s="1"/>
  <c r="H371" i="9" s="1"/>
  <c r="H372" i="9" s="1"/>
  <c r="H373" i="9" s="1"/>
  <c r="H374" i="9" s="1"/>
  <c r="H375" i="9" s="1"/>
  <c r="H376" i="9" s="1"/>
  <c r="H377" i="9" s="1"/>
  <c r="H378" i="9" s="1"/>
  <c r="H379" i="9" s="1"/>
  <c r="H380" i="9" s="1"/>
  <c r="H381" i="9" s="1"/>
  <c r="H382" i="9" s="1"/>
  <c r="H383" i="9" s="1"/>
  <c r="H384" i="9" s="1"/>
  <c r="H385" i="9" s="1"/>
  <c r="H386" i="9" s="1"/>
  <c r="H387" i="9" s="1"/>
  <c r="H388" i="9" s="1"/>
  <c r="H389" i="9" s="1"/>
  <c r="H390" i="9" s="1"/>
  <c r="H391" i="9" s="1"/>
  <c r="H392" i="9" s="1"/>
  <c r="H393" i="9" s="1"/>
  <c r="H394" i="9" s="1"/>
  <c r="H395" i="9" s="1"/>
  <c r="H396" i="9" s="1"/>
  <c r="H397" i="9" s="1"/>
  <c r="H398" i="9" s="1"/>
  <c r="H399" i="9" s="1"/>
  <c r="H400" i="9" s="1"/>
  <c r="H401" i="9" s="1"/>
  <c r="H402" i="9" s="1"/>
  <c r="H403" i="9" s="1"/>
  <c r="H404" i="9" s="1"/>
  <c r="H405" i="9" s="1"/>
  <c r="H406" i="9" s="1"/>
  <c r="H407" i="9" s="1"/>
  <c r="H408" i="9" s="1"/>
  <c r="H409" i="9" s="1"/>
  <c r="H410" i="9" s="1"/>
  <c r="H411" i="9" s="1"/>
  <c r="H412" i="9" s="1"/>
  <c r="H413" i="9" s="1"/>
  <c r="H414" i="9" s="1"/>
  <c r="H415" i="9" s="1"/>
  <c r="H416" i="9" s="1"/>
  <c r="H417" i="9" s="1"/>
  <c r="H418" i="9" s="1"/>
  <c r="H419" i="9" s="1"/>
  <c r="H420" i="9" s="1"/>
  <c r="H421" i="9" s="1"/>
  <c r="G5" i="9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B5" i="9"/>
  <c r="D5" i="9" s="1"/>
  <c r="F5" i="9" s="1"/>
  <c r="AR4" i="9"/>
  <c r="AQ4" i="9"/>
  <c r="AP4" i="9"/>
  <c r="AO4" i="9"/>
  <c r="AO5" i="9" s="1"/>
  <c r="AO6" i="9" s="1"/>
  <c r="AO7" i="9" s="1"/>
  <c r="AO8" i="9" s="1"/>
  <c r="AO9" i="9" s="1"/>
  <c r="AO10" i="9" s="1"/>
  <c r="AO11" i="9" s="1"/>
  <c r="AO12" i="9" s="1"/>
  <c r="AO13" i="9" s="1"/>
  <c r="AO14" i="9" s="1"/>
  <c r="AO15" i="9" s="1"/>
  <c r="AO16" i="9" s="1"/>
  <c r="AO17" i="9" s="1"/>
  <c r="AO18" i="9" s="1"/>
  <c r="AO19" i="9" s="1"/>
  <c r="AO20" i="9" s="1"/>
  <c r="AO21" i="9" s="1"/>
  <c r="AO22" i="9" s="1"/>
  <c r="AO23" i="9" s="1"/>
  <c r="AO24" i="9" s="1"/>
  <c r="AO25" i="9" s="1"/>
  <c r="AO26" i="9" s="1"/>
  <c r="AO27" i="9" s="1"/>
  <c r="AO28" i="9" s="1"/>
  <c r="AO29" i="9" s="1"/>
  <c r="AO30" i="9" s="1"/>
  <c r="AO31" i="9" s="1"/>
  <c r="AO32" i="9" s="1"/>
  <c r="AO33" i="9" s="1"/>
  <c r="AO34" i="9" s="1"/>
  <c r="AO35" i="9" s="1"/>
  <c r="AN4" i="9"/>
  <c r="AM4" i="9"/>
  <c r="AM5" i="9" s="1"/>
  <c r="AM6" i="9" s="1"/>
  <c r="AM7" i="9" s="1"/>
  <c r="AM8" i="9" s="1"/>
  <c r="AM9" i="9" s="1"/>
  <c r="AM10" i="9" s="1"/>
  <c r="AM11" i="9" s="1"/>
  <c r="AM12" i="9" s="1"/>
  <c r="AM13" i="9" s="1"/>
  <c r="AM14" i="9" s="1"/>
  <c r="AM15" i="9" s="1"/>
  <c r="AM16" i="9" s="1"/>
  <c r="AM17" i="9" s="1"/>
  <c r="AM18" i="9" s="1"/>
  <c r="AM19" i="9" s="1"/>
  <c r="AM20" i="9" s="1"/>
  <c r="AM21" i="9" s="1"/>
  <c r="AM22" i="9" s="1"/>
  <c r="AM23" i="9" s="1"/>
  <c r="AM24" i="9" s="1"/>
  <c r="AM25" i="9" s="1"/>
  <c r="AM26" i="9" s="1"/>
  <c r="AM27" i="9" s="1"/>
  <c r="AM28" i="9" s="1"/>
  <c r="AM29" i="9" s="1"/>
  <c r="AM30" i="9" s="1"/>
  <c r="AM31" i="9" s="1"/>
  <c r="AM32" i="9" s="1"/>
  <c r="AM33" i="9" s="1"/>
  <c r="AM34" i="9" s="1"/>
  <c r="AM35" i="9" s="1"/>
  <c r="AL4" i="9"/>
  <c r="AK4" i="9"/>
  <c r="AK5" i="9" s="1"/>
  <c r="AK6" i="9" s="1"/>
  <c r="AK7" i="9" s="1"/>
  <c r="AK8" i="9" s="1"/>
  <c r="AK9" i="9" s="1"/>
  <c r="AK10" i="9" s="1"/>
  <c r="AK11" i="9" s="1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AK28" i="9" s="1"/>
  <c r="AK29" i="9" s="1"/>
  <c r="AK30" i="9" s="1"/>
  <c r="AK31" i="9" s="1"/>
  <c r="AK32" i="9" s="1"/>
  <c r="AK33" i="9" s="1"/>
  <c r="AK34" i="9" s="1"/>
  <c r="AK35" i="9" s="1"/>
  <c r="AJ4" i="9"/>
  <c r="AI4" i="9"/>
  <c r="AH4" i="9"/>
  <c r="AG4" i="9"/>
  <c r="AG5" i="9" s="1"/>
  <c r="AG6" i="9" s="1"/>
  <c r="AG7" i="9" s="1"/>
  <c r="AG8" i="9" s="1"/>
  <c r="AG9" i="9" s="1"/>
  <c r="AG10" i="9" s="1"/>
  <c r="AG11" i="9" s="1"/>
  <c r="AG12" i="9" s="1"/>
  <c r="AG13" i="9" s="1"/>
  <c r="AG14" i="9" s="1"/>
  <c r="AG15" i="9" s="1"/>
  <c r="AG16" i="9" s="1"/>
  <c r="AG17" i="9" s="1"/>
  <c r="AG18" i="9" s="1"/>
  <c r="AG19" i="9" s="1"/>
  <c r="AG20" i="9" s="1"/>
  <c r="AG21" i="9" s="1"/>
  <c r="AG22" i="9" s="1"/>
  <c r="AG23" i="9" s="1"/>
  <c r="AG24" i="9" s="1"/>
  <c r="AG25" i="9" s="1"/>
  <c r="AG26" i="9" s="1"/>
  <c r="AG27" i="9" s="1"/>
  <c r="AG28" i="9" s="1"/>
  <c r="AG29" i="9" s="1"/>
  <c r="AG30" i="9" s="1"/>
  <c r="AG31" i="9" s="1"/>
  <c r="AG32" i="9" s="1"/>
  <c r="AG33" i="9" s="1"/>
  <c r="AG34" i="9" s="1"/>
  <c r="AG35" i="9" s="1"/>
  <c r="AF4" i="9"/>
  <c r="AE4" i="9"/>
  <c r="AD4" i="9"/>
  <c r="AC4" i="9"/>
  <c r="AC5" i="9" s="1"/>
  <c r="AC6" i="9" s="1"/>
  <c r="AC7" i="9" s="1"/>
  <c r="AC8" i="9" s="1"/>
  <c r="AC9" i="9" s="1"/>
  <c r="AC10" i="9" s="1"/>
  <c r="AC11" i="9" s="1"/>
  <c r="AC12" i="9" s="1"/>
  <c r="AC13" i="9" s="1"/>
  <c r="AC14" i="9" s="1"/>
  <c r="AC15" i="9" s="1"/>
  <c r="AC16" i="9" s="1"/>
  <c r="AC17" i="9" s="1"/>
  <c r="AC18" i="9" s="1"/>
  <c r="AC19" i="9" s="1"/>
  <c r="AC20" i="9" s="1"/>
  <c r="AC21" i="9" s="1"/>
  <c r="AA4" i="9"/>
  <c r="AA5" i="9" s="1"/>
  <c r="Z4" i="9"/>
  <c r="Z5" i="9" s="1"/>
  <c r="Y4" i="9"/>
  <c r="Y5" i="9" s="1"/>
  <c r="Y6" i="9" s="1"/>
  <c r="X4" i="9"/>
  <c r="W4" i="9"/>
  <c r="W5" i="9" s="1"/>
  <c r="V4" i="9"/>
  <c r="V5" i="9" s="1"/>
  <c r="Z6" i="9" l="1"/>
  <c r="Z7" i="9" s="1"/>
  <c r="Z8" i="9" s="1"/>
  <c r="Z9" i="9" s="1"/>
  <c r="Z10" i="9" s="1"/>
  <c r="Z11" i="9" s="1"/>
  <c r="Z12" i="9" s="1"/>
  <c r="Z13" i="9" s="1"/>
  <c r="Z14" i="9" s="1"/>
  <c r="Z15" i="9" s="1"/>
  <c r="Z16" i="9" s="1"/>
  <c r="Z17" i="9" s="1"/>
  <c r="Z18" i="9" s="1"/>
  <c r="Z19" i="9" s="1"/>
  <c r="Z20" i="9" s="1"/>
  <c r="Z21" i="9" s="1"/>
  <c r="Z22" i="9" s="1"/>
  <c r="Z23" i="9" s="1"/>
  <c r="Z24" i="9" s="1"/>
  <c r="Z25" i="9" s="1"/>
  <c r="Z26" i="9" s="1"/>
  <c r="Z27" i="9" s="1"/>
  <c r="Z28" i="9" s="1"/>
  <c r="Z29" i="9" s="1"/>
  <c r="Z30" i="9" s="1"/>
  <c r="Z31" i="9" s="1"/>
  <c r="Z32" i="9" s="1"/>
  <c r="Z33" i="9" s="1"/>
  <c r="Z34" i="9" s="1"/>
  <c r="Z35" i="9" s="1"/>
  <c r="Z36" i="9" s="1"/>
  <c r="Z37" i="9" s="1"/>
  <c r="Z38" i="9" s="1"/>
  <c r="Z39" i="9" s="1"/>
  <c r="Z40" i="9" s="1"/>
  <c r="Z41" i="9" s="1"/>
  <c r="Z42" i="9" s="1"/>
  <c r="Z43" i="9" s="1"/>
  <c r="W6" i="9"/>
  <c r="W7" i="9" s="1"/>
  <c r="W8" i="9" s="1"/>
  <c r="W9" i="9" s="1"/>
  <c r="W10" i="9" s="1"/>
  <c r="W11" i="9" s="1"/>
  <c r="W12" i="9" s="1"/>
  <c r="W13" i="9" s="1"/>
  <c r="W14" i="9" s="1"/>
  <c r="W15" i="9" s="1"/>
  <c r="W16" i="9" s="1"/>
  <c r="W17" i="9" s="1"/>
  <c r="W18" i="9" s="1"/>
  <c r="AA6" i="9"/>
  <c r="AN5" i="9"/>
  <c r="AN6" i="9" s="1"/>
  <c r="AN7" i="9" s="1"/>
  <c r="AN8" i="9" s="1"/>
  <c r="AN9" i="9" s="1"/>
  <c r="AN10" i="9" s="1"/>
  <c r="AN11" i="9" s="1"/>
  <c r="AN12" i="9" s="1"/>
  <c r="AN13" i="9" s="1"/>
  <c r="AN14" i="9" s="1"/>
  <c r="AN15" i="9" s="1"/>
  <c r="AN16" i="9" s="1"/>
  <c r="AN17" i="9" s="1"/>
  <c r="AN18" i="9" s="1"/>
  <c r="AN19" i="9" s="1"/>
  <c r="AN20" i="9" s="1"/>
  <c r="AN21" i="9" s="1"/>
  <c r="AN22" i="9" s="1"/>
  <c r="AN23" i="9" s="1"/>
  <c r="AN24" i="9" s="1"/>
  <c r="AN25" i="9" s="1"/>
  <c r="AN26" i="9" s="1"/>
  <c r="AN27" i="9" s="1"/>
  <c r="AN28" i="9" s="1"/>
  <c r="AN29" i="9" s="1"/>
  <c r="AN30" i="9" s="1"/>
  <c r="AN31" i="9" s="1"/>
  <c r="AN32" i="9" s="1"/>
  <c r="AN33" i="9" s="1"/>
  <c r="AN34" i="9" s="1"/>
  <c r="AN35" i="9" s="1"/>
  <c r="AI5" i="9"/>
  <c r="AI6" i="9" s="1"/>
  <c r="AI7" i="9" s="1"/>
  <c r="AI8" i="9" s="1"/>
  <c r="AI9" i="9" s="1"/>
  <c r="AI10" i="9" s="1"/>
  <c r="AI11" i="9" s="1"/>
  <c r="AI12" i="9" s="1"/>
  <c r="AI13" i="9" s="1"/>
  <c r="AI14" i="9" s="1"/>
  <c r="AI15" i="9" s="1"/>
  <c r="AI16" i="9" s="1"/>
  <c r="AI17" i="9" s="1"/>
  <c r="AI18" i="9" s="1"/>
  <c r="AI19" i="9" s="1"/>
  <c r="AI20" i="9" s="1"/>
  <c r="AI21" i="9" s="1"/>
  <c r="AI22" i="9" s="1"/>
  <c r="AI23" i="9" s="1"/>
  <c r="AI24" i="9" s="1"/>
  <c r="AI25" i="9" s="1"/>
  <c r="AI26" i="9" s="1"/>
  <c r="AI27" i="9" s="1"/>
  <c r="AI28" i="9" s="1"/>
  <c r="AI29" i="9" s="1"/>
  <c r="AI30" i="9" s="1"/>
  <c r="AI31" i="9" s="1"/>
  <c r="AI32" i="9" s="1"/>
  <c r="AI33" i="9" s="1"/>
  <c r="AI34" i="9" s="1"/>
  <c r="AI35" i="9" s="1"/>
  <c r="AR5" i="9"/>
  <c r="AR6" i="9" s="1"/>
  <c r="AR7" i="9" s="1"/>
  <c r="AR8" i="9" s="1"/>
  <c r="AR9" i="9" s="1"/>
  <c r="AR10" i="9" s="1"/>
  <c r="AR11" i="9" s="1"/>
  <c r="AR12" i="9" s="1"/>
  <c r="AR13" i="9" s="1"/>
  <c r="AR14" i="9" s="1"/>
  <c r="AR15" i="9" s="1"/>
  <c r="AR16" i="9" s="1"/>
  <c r="AR17" i="9" s="1"/>
  <c r="AR18" i="9" s="1"/>
  <c r="AR19" i="9" s="1"/>
  <c r="AR20" i="9" s="1"/>
  <c r="AR21" i="9" s="1"/>
  <c r="AR22" i="9" s="1"/>
  <c r="AR23" i="9" s="1"/>
  <c r="AR24" i="9" s="1"/>
  <c r="AR25" i="9" s="1"/>
  <c r="AR26" i="9" s="1"/>
  <c r="AR27" i="9" s="1"/>
  <c r="AR28" i="9" s="1"/>
  <c r="AR29" i="9" s="1"/>
  <c r="AR30" i="9" s="1"/>
  <c r="AR31" i="9" s="1"/>
  <c r="AR32" i="9" s="1"/>
  <c r="AR33" i="9" s="1"/>
  <c r="AR34" i="9" s="1"/>
  <c r="AR35" i="9" s="1"/>
  <c r="AD5" i="9"/>
  <c r="AD6" i="9" s="1"/>
  <c r="AD7" i="9" s="1"/>
  <c r="AD8" i="9" s="1"/>
  <c r="AD9" i="9" s="1"/>
  <c r="AD10" i="9" s="1"/>
  <c r="AD11" i="9" s="1"/>
  <c r="AD12" i="9" s="1"/>
  <c r="AD13" i="9" s="1"/>
  <c r="AD14" i="9" s="1"/>
  <c r="AD15" i="9" s="1"/>
  <c r="AD16" i="9" s="1"/>
  <c r="AD17" i="9" s="1"/>
  <c r="AD18" i="9" s="1"/>
  <c r="AD19" i="9" s="1"/>
  <c r="AD20" i="9" s="1"/>
  <c r="AD21" i="9" s="1"/>
  <c r="AD22" i="9" s="1"/>
  <c r="AD23" i="9" s="1"/>
  <c r="AD24" i="9" s="1"/>
  <c r="AD25" i="9" s="1"/>
  <c r="AD26" i="9" s="1"/>
  <c r="AD27" i="9" s="1"/>
  <c r="AD28" i="9" s="1"/>
  <c r="AD29" i="9" s="1"/>
  <c r="AD30" i="9" s="1"/>
  <c r="AD31" i="9" s="1"/>
  <c r="AD32" i="9" s="1"/>
  <c r="AD33" i="9" s="1"/>
  <c r="AD34" i="9" s="1"/>
  <c r="AD35" i="9" s="1"/>
  <c r="AH5" i="9"/>
  <c r="AH6" i="9" s="1"/>
  <c r="AH7" i="9" s="1"/>
  <c r="AH8" i="9" s="1"/>
  <c r="AH9" i="9" s="1"/>
  <c r="AH10" i="9" s="1"/>
  <c r="AH11" i="9" s="1"/>
  <c r="AH12" i="9" s="1"/>
  <c r="AH13" i="9" s="1"/>
  <c r="AH14" i="9" s="1"/>
  <c r="AH15" i="9" s="1"/>
  <c r="AH16" i="9" s="1"/>
  <c r="AH17" i="9" s="1"/>
  <c r="AH18" i="9" s="1"/>
  <c r="AH19" i="9" s="1"/>
  <c r="AH20" i="9" s="1"/>
  <c r="AH21" i="9" s="1"/>
  <c r="AH22" i="9" s="1"/>
  <c r="AH23" i="9" s="1"/>
  <c r="AH24" i="9" s="1"/>
  <c r="AH25" i="9" s="1"/>
  <c r="AH26" i="9" s="1"/>
  <c r="AH27" i="9" s="1"/>
  <c r="AH28" i="9" s="1"/>
  <c r="AH29" i="9" s="1"/>
  <c r="AH30" i="9" s="1"/>
  <c r="AH31" i="9" s="1"/>
  <c r="AH32" i="9" s="1"/>
  <c r="AH33" i="9" s="1"/>
  <c r="AH34" i="9" s="1"/>
  <c r="AH35" i="9" s="1"/>
  <c r="AL5" i="9"/>
  <c r="AL6" i="9" s="1"/>
  <c r="AL7" i="9" s="1"/>
  <c r="AL8" i="9" s="1"/>
  <c r="AL9" i="9" s="1"/>
  <c r="AL10" i="9" s="1"/>
  <c r="AL11" i="9" s="1"/>
  <c r="AL12" i="9" s="1"/>
  <c r="AL13" i="9" s="1"/>
  <c r="AL14" i="9" s="1"/>
  <c r="AL15" i="9" s="1"/>
  <c r="AL16" i="9" s="1"/>
  <c r="AL17" i="9" s="1"/>
  <c r="AL18" i="9" s="1"/>
  <c r="AL19" i="9" s="1"/>
  <c r="AL20" i="9" s="1"/>
  <c r="AL21" i="9" s="1"/>
  <c r="AL22" i="9" s="1"/>
  <c r="AL23" i="9" s="1"/>
  <c r="AL24" i="9" s="1"/>
  <c r="AL25" i="9" s="1"/>
  <c r="AL26" i="9" s="1"/>
  <c r="AL27" i="9" s="1"/>
  <c r="AL28" i="9" s="1"/>
  <c r="AL29" i="9" s="1"/>
  <c r="AL30" i="9" s="1"/>
  <c r="AL31" i="9" s="1"/>
  <c r="AL32" i="9" s="1"/>
  <c r="AL33" i="9" s="1"/>
  <c r="AL34" i="9" s="1"/>
  <c r="AL35" i="9" s="1"/>
  <c r="AP5" i="9"/>
  <c r="AP6" i="9" s="1"/>
  <c r="AP7" i="9" s="1"/>
  <c r="AP8" i="9" s="1"/>
  <c r="AP9" i="9" s="1"/>
  <c r="AP10" i="9" s="1"/>
  <c r="AP11" i="9" s="1"/>
  <c r="AP12" i="9" s="1"/>
  <c r="AP13" i="9" s="1"/>
  <c r="AP14" i="9" s="1"/>
  <c r="AP15" i="9" s="1"/>
  <c r="AP16" i="9" s="1"/>
  <c r="AP17" i="9" s="1"/>
  <c r="AP18" i="9" s="1"/>
  <c r="AP19" i="9" s="1"/>
  <c r="AP20" i="9" s="1"/>
  <c r="AP21" i="9" s="1"/>
  <c r="AP22" i="9" s="1"/>
  <c r="AP23" i="9" s="1"/>
  <c r="AP24" i="9" s="1"/>
  <c r="AP25" i="9" s="1"/>
  <c r="AP26" i="9" s="1"/>
  <c r="AP27" i="9" s="1"/>
  <c r="AP28" i="9" s="1"/>
  <c r="AP29" i="9" s="1"/>
  <c r="AP30" i="9" s="1"/>
  <c r="AP31" i="9" s="1"/>
  <c r="AP32" i="9" s="1"/>
  <c r="AP33" i="9" s="1"/>
  <c r="AP34" i="9" s="1"/>
  <c r="AP35" i="9" s="1"/>
  <c r="E5" i="9"/>
  <c r="AJ5" i="9"/>
  <c r="AJ6" i="9" s="1"/>
  <c r="AJ7" i="9" s="1"/>
  <c r="AJ8" i="9" s="1"/>
  <c r="AJ9" i="9" s="1"/>
  <c r="AJ10" i="9" s="1"/>
  <c r="AJ11" i="9" s="1"/>
  <c r="AJ12" i="9" s="1"/>
  <c r="AJ13" i="9" s="1"/>
  <c r="AJ14" i="9" s="1"/>
  <c r="AJ15" i="9" s="1"/>
  <c r="AJ16" i="9" s="1"/>
  <c r="AJ17" i="9" s="1"/>
  <c r="AJ18" i="9" s="1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J29" i="9" s="1"/>
  <c r="AJ30" i="9" s="1"/>
  <c r="AJ31" i="9" s="1"/>
  <c r="AJ32" i="9" s="1"/>
  <c r="AJ33" i="9" s="1"/>
  <c r="AJ34" i="9" s="1"/>
  <c r="AJ35" i="9" s="1"/>
  <c r="B6" i="9"/>
  <c r="D6" i="9" s="1"/>
  <c r="B7" i="9" s="1"/>
  <c r="E7" i="9" s="1"/>
  <c r="AE5" i="9"/>
  <c r="AE6" i="9" s="1"/>
  <c r="AE7" i="9" s="1"/>
  <c r="AE8" i="9" s="1"/>
  <c r="AE9" i="9" s="1"/>
  <c r="AE10" i="9" s="1"/>
  <c r="AE11" i="9" s="1"/>
  <c r="AE12" i="9" s="1"/>
  <c r="AE13" i="9" s="1"/>
  <c r="AE14" i="9" s="1"/>
  <c r="AE15" i="9" s="1"/>
  <c r="AE16" i="9" s="1"/>
  <c r="AE17" i="9" s="1"/>
  <c r="AE18" i="9" s="1"/>
  <c r="AE19" i="9" s="1"/>
  <c r="AE20" i="9" s="1"/>
  <c r="AE21" i="9" s="1"/>
  <c r="AE22" i="9" s="1"/>
  <c r="AE23" i="9" s="1"/>
  <c r="AE24" i="9" s="1"/>
  <c r="AE25" i="9" s="1"/>
  <c r="AE26" i="9" s="1"/>
  <c r="AE27" i="9" s="1"/>
  <c r="AE28" i="9" s="1"/>
  <c r="AE29" i="9" s="1"/>
  <c r="AE30" i="9" s="1"/>
  <c r="AE31" i="9" s="1"/>
  <c r="AE32" i="9" s="1"/>
  <c r="AE33" i="9" s="1"/>
  <c r="AE34" i="9" s="1"/>
  <c r="AE35" i="9" s="1"/>
  <c r="AQ5" i="9"/>
  <c r="AQ6" i="9" s="1"/>
  <c r="AQ7" i="9" s="1"/>
  <c r="AQ8" i="9" s="1"/>
  <c r="AQ9" i="9" s="1"/>
  <c r="AQ10" i="9" s="1"/>
  <c r="AQ11" i="9" s="1"/>
  <c r="AQ12" i="9" s="1"/>
  <c r="AQ13" i="9" s="1"/>
  <c r="AQ14" i="9" s="1"/>
  <c r="AQ15" i="9" s="1"/>
  <c r="AQ16" i="9" s="1"/>
  <c r="AQ17" i="9" s="1"/>
  <c r="AQ18" i="9" s="1"/>
  <c r="AQ19" i="9" s="1"/>
  <c r="AQ20" i="9" s="1"/>
  <c r="AQ21" i="9" s="1"/>
  <c r="AQ22" i="9" s="1"/>
  <c r="AQ23" i="9" s="1"/>
  <c r="AQ24" i="9" s="1"/>
  <c r="AQ25" i="9" s="1"/>
  <c r="AQ26" i="9" s="1"/>
  <c r="AQ27" i="9" s="1"/>
  <c r="AQ28" i="9" s="1"/>
  <c r="AQ29" i="9" s="1"/>
  <c r="AQ30" i="9" s="1"/>
  <c r="AQ31" i="9" s="1"/>
  <c r="AQ32" i="9" s="1"/>
  <c r="AQ33" i="9" s="1"/>
  <c r="AQ34" i="9" s="1"/>
  <c r="AQ35" i="9" s="1"/>
  <c r="AF5" i="9"/>
  <c r="AF6" i="9" s="1"/>
  <c r="AF7" i="9" s="1"/>
  <c r="AF8" i="9" s="1"/>
  <c r="AF9" i="9" s="1"/>
  <c r="AF10" i="9" s="1"/>
  <c r="AF11" i="9" s="1"/>
  <c r="AF12" i="9" s="1"/>
  <c r="AF13" i="9" s="1"/>
  <c r="AF14" i="9" s="1"/>
  <c r="AF15" i="9" s="1"/>
  <c r="AF16" i="9" s="1"/>
  <c r="AF17" i="9" s="1"/>
  <c r="AF18" i="9" s="1"/>
  <c r="AF19" i="9" s="1"/>
  <c r="AF20" i="9" s="1"/>
  <c r="AF21" i="9" s="1"/>
  <c r="AF22" i="9" s="1"/>
  <c r="AF23" i="9" s="1"/>
  <c r="AF24" i="9" s="1"/>
  <c r="AF25" i="9" s="1"/>
  <c r="AF26" i="9" s="1"/>
  <c r="AF27" i="9" s="1"/>
  <c r="AF28" i="9" s="1"/>
  <c r="AF29" i="9" s="1"/>
  <c r="AF30" i="9" s="1"/>
  <c r="AF31" i="9" s="1"/>
  <c r="AF32" i="9" s="1"/>
  <c r="AF33" i="9" s="1"/>
  <c r="AF34" i="9" s="1"/>
  <c r="AF35" i="9" s="1"/>
  <c r="AC22" i="9"/>
  <c r="G70" i="9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AA7" i="9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Y7" i="9"/>
  <c r="Y8" i="9" s="1"/>
  <c r="Y9" i="9" s="1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Y33" i="9" s="1"/>
  <c r="Y34" i="9" s="1"/>
  <c r="Y35" i="9" s="1"/>
  <c r="Y36" i="9" s="1"/>
  <c r="Y37" i="9" s="1"/>
  <c r="Y38" i="9" s="1"/>
  <c r="Y39" i="9" s="1"/>
  <c r="Y40" i="9" s="1"/>
  <c r="Y41" i="9" s="1"/>
  <c r="Y42" i="9" s="1"/>
  <c r="Y43" i="9" s="1"/>
  <c r="Y44" i="9" s="1"/>
  <c r="Y45" i="9" s="1"/>
  <c r="Y46" i="9" s="1"/>
  <c r="Y47" i="9" s="1"/>
  <c r="Y48" i="9" s="1"/>
  <c r="Y49" i="9" s="1"/>
  <c r="Y50" i="9" s="1"/>
  <c r="Y51" i="9" s="1"/>
  <c r="Y52" i="9" s="1"/>
  <c r="Y53" i="9" s="1"/>
  <c r="Y54" i="9" s="1"/>
  <c r="X5" i="9"/>
  <c r="X6" i="9" s="1"/>
  <c r="X7" i="9" s="1"/>
  <c r="X8" i="9" s="1"/>
  <c r="X9" i="9" s="1"/>
  <c r="X10" i="9" s="1"/>
  <c r="X11" i="9" s="1"/>
  <c r="X12" i="9" s="1"/>
  <c r="V6" i="9"/>
  <c r="D7" i="9" l="1"/>
  <c r="F6" i="9"/>
  <c r="E6" i="9"/>
  <c r="AQ36" i="9"/>
  <c r="AQ37" i="9" s="1"/>
  <c r="AQ38" i="9" s="1"/>
  <c r="AQ39" i="9" s="1"/>
  <c r="AQ40" i="9" s="1"/>
  <c r="AQ41" i="9" s="1"/>
  <c r="AQ42" i="9" s="1"/>
  <c r="AQ43" i="9" s="1"/>
  <c r="AQ44" i="9" s="1"/>
  <c r="AQ45" i="9" s="1"/>
  <c r="AQ46" i="9" s="1"/>
  <c r="AQ47" i="9" s="1"/>
  <c r="AQ48" i="9" s="1"/>
  <c r="AQ49" i="9" s="1"/>
  <c r="AQ50" i="9" s="1"/>
  <c r="AQ51" i="9" s="1"/>
  <c r="AQ52" i="9" s="1"/>
  <c r="AD36" i="9"/>
  <c r="AG36" i="9"/>
  <c r="AG37" i="9" s="1"/>
  <c r="AG38" i="9" s="1"/>
  <c r="AG39" i="9" s="1"/>
  <c r="AG40" i="9" s="1"/>
  <c r="AG41" i="9" s="1"/>
  <c r="AG42" i="9" s="1"/>
  <c r="AG43" i="9" s="1"/>
  <c r="AG44" i="9" s="1"/>
  <c r="AG45" i="9" s="1"/>
  <c r="AG46" i="9" s="1"/>
  <c r="AG47" i="9" s="1"/>
  <c r="AG48" i="9" s="1"/>
  <c r="AG49" i="9" s="1"/>
  <c r="AG50" i="9" s="1"/>
  <c r="AG51" i="9" s="1"/>
  <c r="AG52" i="9" s="1"/>
  <c r="AE36" i="9"/>
  <c r="AE37" i="9" s="1"/>
  <c r="AE38" i="9" s="1"/>
  <c r="AE39" i="9" s="1"/>
  <c r="AE40" i="9" s="1"/>
  <c r="AE41" i="9" s="1"/>
  <c r="AE42" i="9" s="1"/>
  <c r="AE43" i="9" s="1"/>
  <c r="AE44" i="9" s="1"/>
  <c r="AE45" i="9" s="1"/>
  <c r="AE46" i="9" s="1"/>
  <c r="AE47" i="9" s="1"/>
  <c r="AE48" i="9" s="1"/>
  <c r="AE49" i="9" s="1"/>
  <c r="AE50" i="9" s="1"/>
  <c r="AE51" i="9" s="1"/>
  <c r="AE52" i="9" s="1"/>
  <c r="AP36" i="9"/>
  <c r="AP37" i="9" s="1"/>
  <c r="AP38" i="9" s="1"/>
  <c r="AP39" i="9" s="1"/>
  <c r="AP40" i="9" s="1"/>
  <c r="AP41" i="9" s="1"/>
  <c r="AP42" i="9" s="1"/>
  <c r="AP43" i="9" s="1"/>
  <c r="AP44" i="9" s="1"/>
  <c r="AP45" i="9" s="1"/>
  <c r="AP46" i="9" s="1"/>
  <c r="AP47" i="9" s="1"/>
  <c r="AP48" i="9" s="1"/>
  <c r="AP49" i="9" s="1"/>
  <c r="AP50" i="9" s="1"/>
  <c r="AP51" i="9" s="1"/>
  <c r="AP52" i="9" s="1"/>
  <c r="AR36" i="9"/>
  <c r="AR37" i="9" s="1"/>
  <c r="AR38" i="9" s="1"/>
  <c r="AR39" i="9" s="1"/>
  <c r="AR40" i="9" s="1"/>
  <c r="AR41" i="9" s="1"/>
  <c r="AR42" i="9" s="1"/>
  <c r="AR43" i="9" s="1"/>
  <c r="AR44" i="9" s="1"/>
  <c r="AR45" i="9" s="1"/>
  <c r="AR46" i="9" s="1"/>
  <c r="AR47" i="9" s="1"/>
  <c r="AR48" i="9" s="1"/>
  <c r="AR49" i="9" s="1"/>
  <c r="AR50" i="9" s="1"/>
  <c r="AR51" i="9" s="1"/>
  <c r="AR52" i="9" s="1"/>
  <c r="AN36" i="9"/>
  <c r="AN37" i="9" s="1"/>
  <c r="AN38" i="9" s="1"/>
  <c r="AN39" i="9" s="1"/>
  <c r="AN40" i="9" s="1"/>
  <c r="AN41" i="9" s="1"/>
  <c r="AN42" i="9" s="1"/>
  <c r="AN43" i="9" s="1"/>
  <c r="AN44" i="9" s="1"/>
  <c r="AN45" i="9" s="1"/>
  <c r="AN46" i="9" s="1"/>
  <c r="AN47" i="9" s="1"/>
  <c r="AN48" i="9" s="1"/>
  <c r="AN49" i="9" s="1"/>
  <c r="AN50" i="9" s="1"/>
  <c r="AN51" i="9" s="1"/>
  <c r="AN52" i="9" s="1"/>
  <c r="AL36" i="9"/>
  <c r="AL37" i="9" s="1"/>
  <c r="AL38" i="9" s="1"/>
  <c r="AL39" i="9" s="1"/>
  <c r="AL40" i="9" s="1"/>
  <c r="AL41" i="9" s="1"/>
  <c r="AL42" i="9" s="1"/>
  <c r="AL43" i="9" s="1"/>
  <c r="AL44" i="9" s="1"/>
  <c r="AL45" i="9" s="1"/>
  <c r="AL46" i="9" s="1"/>
  <c r="AL47" i="9" s="1"/>
  <c r="AL48" i="9" s="1"/>
  <c r="AL49" i="9" s="1"/>
  <c r="AL50" i="9" s="1"/>
  <c r="AL51" i="9" s="1"/>
  <c r="AL52" i="9" s="1"/>
  <c r="AI36" i="9"/>
  <c r="AI37" i="9" s="1"/>
  <c r="AI38" i="9" s="1"/>
  <c r="AI39" i="9" s="1"/>
  <c r="AI40" i="9" s="1"/>
  <c r="AI41" i="9" s="1"/>
  <c r="AI42" i="9" s="1"/>
  <c r="AI43" i="9" s="1"/>
  <c r="AI44" i="9" s="1"/>
  <c r="AI45" i="9" s="1"/>
  <c r="AI46" i="9" s="1"/>
  <c r="AI47" i="9" s="1"/>
  <c r="AI48" i="9" s="1"/>
  <c r="AI49" i="9" s="1"/>
  <c r="AI50" i="9" s="1"/>
  <c r="AI51" i="9" s="1"/>
  <c r="AI52" i="9" s="1"/>
  <c r="AM36" i="9"/>
  <c r="AM37" i="9" s="1"/>
  <c r="AM38" i="9" s="1"/>
  <c r="AM39" i="9" s="1"/>
  <c r="AM40" i="9" s="1"/>
  <c r="AM41" i="9" s="1"/>
  <c r="AM42" i="9" s="1"/>
  <c r="AM43" i="9" s="1"/>
  <c r="AM44" i="9" s="1"/>
  <c r="AM45" i="9" s="1"/>
  <c r="AM46" i="9" s="1"/>
  <c r="AM47" i="9" s="1"/>
  <c r="AM48" i="9" s="1"/>
  <c r="AM49" i="9" s="1"/>
  <c r="AM50" i="9" s="1"/>
  <c r="AM51" i="9" s="1"/>
  <c r="AM52" i="9" s="1"/>
  <c r="AF36" i="9"/>
  <c r="AF37" i="9" s="1"/>
  <c r="AF38" i="9" s="1"/>
  <c r="AF39" i="9" s="1"/>
  <c r="AF40" i="9" s="1"/>
  <c r="AF41" i="9" s="1"/>
  <c r="AF42" i="9" s="1"/>
  <c r="AF43" i="9" s="1"/>
  <c r="AF44" i="9" s="1"/>
  <c r="AF45" i="9" s="1"/>
  <c r="AF46" i="9" s="1"/>
  <c r="AF47" i="9" s="1"/>
  <c r="AF48" i="9" s="1"/>
  <c r="AF49" i="9" s="1"/>
  <c r="AF50" i="9" s="1"/>
  <c r="AF51" i="9" s="1"/>
  <c r="AF52" i="9" s="1"/>
  <c r="AJ36" i="9"/>
  <c r="AJ37" i="9" s="1"/>
  <c r="AJ38" i="9" s="1"/>
  <c r="AJ39" i="9" s="1"/>
  <c r="AJ40" i="9" s="1"/>
  <c r="AJ41" i="9" s="1"/>
  <c r="AJ42" i="9" s="1"/>
  <c r="AJ43" i="9" s="1"/>
  <c r="AJ44" i="9" s="1"/>
  <c r="AJ45" i="9" s="1"/>
  <c r="AJ46" i="9" s="1"/>
  <c r="AJ47" i="9" s="1"/>
  <c r="AJ48" i="9" s="1"/>
  <c r="AJ49" i="9" s="1"/>
  <c r="AJ50" i="9" s="1"/>
  <c r="AJ51" i="9" s="1"/>
  <c r="AJ52" i="9" s="1"/>
  <c r="AJ53" i="9" s="1"/>
  <c r="AJ54" i="9" s="1"/>
  <c r="AJ55" i="9" s="1"/>
  <c r="AJ56" i="9" s="1"/>
  <c r="AJ57" i="9" s="1"/>
  <c r="AJ58" i="9" s="1"/>
  <c r="AJ59" i="9" s="1"/>
  <c r="AJ60" i="9" s="1"/>
  <c r="AJ61" i="9" s="1"/>
  <c r="AJ62" i="9" s="1"/>
  <c r="AJ63" i="9" s="1"/>
  <c r="AJ64" i="9" s="1"/>
  <c r="AJ65" i="9" s="1"/>
  <c r="AJ66" i="9" s="1"/>
  <c r="AJ67" i="9" s="1"/>
  <c r="AJ68" i="9" s="1"/>
  <c r="AJ69" i="9" s="1"/>
  <c r="AJ70" i="9" s="1"/>
  <c r="AJ71" i="9" s="1"/>
  <c r="AJ72" i="9" s="1"/>
  <c r="AJ73" i="9" s="1"/>
  <c r="AJ74" i="9" s="1"/>
  <c r="AJ75" i="9" s="1"/>
  <c r="AJ76" i="9" s="1"/>
  <c r="AJ77" i="9" s="1"/>
  <c r="AJ78" i="9" s="1"/>
  <c r="AJ79" i="9" s="1"/>
  <c r="AJ80" i="9" s="1"/>
  <c r="AJ81" i="9" s="1"/>
  <c r="AJ82" i="9" s="1"/>
  <c r="AJ83" i="9" s="1"/>
  <c r="AJ84" i="9" s="1"/>
  <c r="AJ85" i="9" s="1"/>
  <c r="AJ86" i="9" s="1"/>
  <c r="AJ87" i="9" s="1"/>
  <c r="AJ88" i="9" s="1"/>
  <c r="AJ89" i="9" s="1"/>
  <c r="AJ90" i="9" s="1"/>
  <c r="AJ91" i="9" s="1"/>
  <c r="AJ92" i="9" s="1"/>
  <c r="AJ93" i="9" s="1"/>
  <c r="AJ94" i="9" s="1"/>
  <c r="AJ95" i="9" s="1"/>
  <c r="AJ96" i="9" s="1"/>
  <c r="AJ97" i="9" s="1"/>
  <c r="AJ98" i="9" s="1"/>
  <c r="AJ99" i="9" s="1"/>
  <c r="AJ100" i="9" s="1"/>
  <c r="AJ101" i="9" s="1"/>
  <c r="AJ102" i="9" s="1"/>
  <c r="AJ103" i="9" s="1"/>
  <c r="AJ104" i="9" s="1"/>
  <c r="AJ105" i="9" s="1"/>
  <c r="AJ106" i="9" s="1"/>
  <c r="AJ107" i="9" s="1"/>
  <c r="AJ108" i="9" s="1"/>
  <c r="AJ109" i="9" s="1"/>
  <c r="AJ110" i="9" s="1"/>
  <c r="AJ111" i="9" s="1"/>
  <c r="AJ112" i="9" s="1"/>
  <c r="AJ113" i="9" s="1"/>
  <c r="AJ114" i="9" s="1"/>
  <c r="AJ115" i="9" s="1"/>
  <c r="AJ116" i="9" s="1"/>
  <c r="AJ117" i="9" s="1"/>
  <c r="AJ118" i="9" s="1"/>
  <c r="AJ119" i="9" s="1"/>
  <c r="AJ120" i="9" s="1"/>
  <c r="AJ121" i="9" s="1"/>
  <c r="AJ122" i="9" s="1"/>
  <c r="AJ123" i="9" s="1"/>
  <c r="AJ124" i="9" s="1"/>
  <c r="AJ125" i="9" s="1"/>
  <c r="AJ126" i="9" s="1"/>
  <c r="AJ127" i="9" s="1"/>
  <c r="AJ128" i="9" s="1"/>
  <c r="AJ129" i="9" s="1"/>
  <c r="AJ130" i="9" s="1"/>
  <c r="AJ131" i="9" s="1"/>
  <c r="AJ132" i="9" s="1"/>
  <c r="AJ133" i="9" s="1"/>
  <c r="AJ134" i="9" s="1"/>
  <c r="AJ135" i="9" s="1"/>
  <c r="AJ136" i="9" s="1"/>
  <c r="AJ137" i="9" s="1"/>
  <c r="AJ138" i="9" s="1"/>
  <c r="AJ139" i="9" s="1"/>
  <c r="AJ140" i="9" s="1"/>
  <c r="AJ141" i="9" s="1"/>
  <c r="AJ142" i="9" s="1"/>
  <c r="AJ143" i="9" s="1"/>
  <c r="AJ144" i="9" s="1"/>
  <c r="AJ145" i="9" s="1"/>
  <c r="AJ146" i="9" s="1"/>
  <c r="AJ147" i="9" s="1"/>
  <c r="AJ148" i="9" s="1"/>
  <c r="AJ149" i="9" s="1"/>
  <c r="AJ150" i="9" s="1"/>
  <c r="AJ151" i="9" s="1"/>
  <c r="AJ152" i="9" s="1"/>
  <c r="AJ153" i="9" s="1"/>
  <c r="AJ154" i="9" s="1"/>
  <c r="AJ155" i="9" s="1"/>
  <c r="AJ156" i="9" s="1"/>
  <c r="AJ157" i="9" s="1"/>
  <c r="AJ158" i="9" s="1"/>
  <c r="AJ159" i="9" s="1"/>
  <c r="AJ160" i="9" s="1"/>
  <c r="AJ161" i="9" s="1"/>
  <c r="AJ162" i="9" s="1"/>
  <c r="AJ163" i="9" s="1"/>
  <c r="AJ164" i="9" s="1"/>
  <c r="AJ165" i="9" s="1"/>
  <c r="AJ166" i="9" s="1"/>
  <c r="AJ167" i="9" s="1"/>
  <c r="AJ168" i="9" s="1"/>
  <c r="AJ169" i="9" s="1"/>
  <c r="AJ170" i="9" s="1"/>
  <c r="AJ171" i="9" s="1"/>
  <c r="AJ172" i="9" s="1"/>
  <c r="AJ173" i="9" s="1"/>
  <c r="AJ174" i="9" s="1"/>
  <c r="AJ175" i="9" s="1"/>
  <c r="AJ176" i="9" s="1"/>
  <c r="AJ177" i="9" s="1"/>
  <c r="AJ178" i="9" s="1"/>
  <c r="AJ179" i="9" s="1"/>
  <c r="AJ180" i="9" s="1"/>
  <c r="AJ181" i="9" s="1"/>
  <c r="AJ182" i="9" s="1"/>
  <c r="AJ183" i="9" s="1"/>
  <c r="AJ184" i="9" s="1"/>
  <c r="AJ185" i="9" s="1"/>
  <c r="AJ186" i="9" s="1"/>
  <c r="AJ187" i="9" s="1"/>
  <c r="AJ188" i="9" s="1"/>
  <c r="AJ189" i="9" s="1"/>
  <c r="AJ190" i="9" s="1"/>
  <c r="AJ191" i="9" s="1"/>
  <c r="AJ192" i="9" s="1"/>
  <c r="AJ193" i="9" s="1"/>
  <c r="AJ194" i="9" s="1"/>
  <c r="AJ195" i="9" s="1"/>
  <c r="AJ196" i="9" s="1"/>
  <c r="AJ197" i="9" s="1"/>
  <c r="AJ198" i="9" s="1"/>
  <c r="AJ199" i="9" s="1"/>
  <c r="AJ200" i="9" s="1"/>
  <c r="AJ201" i="9" s="1"/>
  <c r="AJ202" i="9" s="1"/>
  <c r="AJ203" i="9" s="1"/>
  <c r="AJ204" i="9" s="1"/>
  <c r="AJ205" i="9" s="1"/>
  <c r="AJ206" i="9" s="1"/>
  <c r="AJ207" i="9" s="1"/>
  <c r="AJ208" i="9" s="1"/>
  <c r="AJ209" i="9" s="1"/>
  <c r="AJ210" i="9" s="1"/>
  <c r="AJ211" i="9" s="1"/>
  <c r="AJ212" i="9" s="1"/>
  <c r="AJ213" i="9" s="1"/>
  <c r="AJ214" i="9" s="1"/>
  <c r="AJ215" i="9" s="1"/>
  <c r="AJ216" i="9" s="1"/>
  <c r="AJ217" i="9" s="1"/>
  <c r="AJ218" i="9" s="1"/>
  <c r="AJ219" i="9" s="1"/>
  <c r="AJ220" i="9" s="1"/>
  <c r="AJ221" i="9" s="1"/>
  <c r="AJ222" i="9" s="1"/>
  <c r="AJ223" i="9" s="1"/>
  <c r="AJ224" i="9" s="1"/>
  <c r="AJ225" i="9" s="1"/>
  <c r="AJ226" i="9" s="1"/>
  <c r="AJ227" i="9" s="1"/>
  <c r="AJ228" i="9" s="1"/>
  <c r="AJ229" i="9" s="1"/>
  <c r="AJ230" i="9" s="1"/>
  <c r="AJ231" i="9" s="1"/>
  <c r="AJ232" i="9" s="1"/>
  <c r="AJ233" i="9" s="1"/>
  <c r="AJ234" i="9" s="1"/>
  <c r="AJ235" i="9" s="1"/>
  <c r="AJ236" i="9" s="1"/>
  <c r="AJ237" i="9" s="1"/>
  <c r="AJ238" i="9" s="1"/>
  <c r="AJ239" i="9" s="1"/>
  <c r="AJ240" i="9" s="1"/>
  <c r="AJ241" i="9" s="1"/>
  <c r="AJ242" i="9" s="1"/>
  <c r="AJ243" i="9" s="1"/>
  <c r="AJ244" i="9" s="1"/>
  <c r="AJ245" i="9" s="1"/>
  <c r="AJ246" i="9" s="1"/>
  <c r="AJ247" i="9" s="1"/>
  <c r="AJ248" i="9" s="1"/>
  <c r="AJ249" i="9" s="1"/>
  <c r="AJ250" i="9" s="1"/>
  <c r="AJ251" i="9" s="1"/>
  <c r="AJ252" i="9" s="1"/>
  <c r="AJ253" i="9" s="1"/>
  <c r="AJ254" i="9" s="1"/>
  <c r="AJ255" i="9" s="1"/>
  <c r="AJ256" i="9" s="1"/>
  <c r="AJ257" i="9" s="1"/>
  <c r="AJ258" i="9" s="1"/>
  <c r="AJ259" i="9" s="1"/>
  <c r="AJ260" i="9" s="1"/>
  <c r="AJ261" i="9" s="1"/>
  <c r="AJ262" i="9" s="1"/>
  <c r="AJ263" i="9" s="1"/>
  <c r="AJ264" i="9" s="1"/>
  <c r="AJ265" i="9" s="1"/>
  <c r="AJ266" i="9" s="1"/>
  <c r="AJ267" i="9" s="1"/>
  <c r="AJ268" i="9" s="1"/>
  <c r="AJ269" i="9" s="1"/>
  <c r="AJ270" i="9" s="1"/>
  <c r="AJ271" i="9" s="1"/>
  <c r="AJ272" i="9" s="1"/>
  <c r="AJ273" i="9" s="1"/>
  <c r="AJ274" i="9" s="1"/>
  <c r="AJ275" i="9" s="1"/>
  <c r="AJ276" i="9" s="1"/>
  <c r="AJ277" i="9" s="1"/>
  <c r="AJ278" i="9" s="1"/>
  <c r="AJ279" i="9" s="1"/>
  <c r="AJ280" i="9" s="1"/>
  <c r="AJ281" i="9" s="1"/>
  <c r="AJ282" i="9" s="1"/>
  <c r="AJ283" i="9" s="1"/>
  <c r="AJ284" i="9" s="1"/>
  <c r="AJ285" i="9" s="1"/>
  <c r="AJ286" i="9" s="1"/>
  <c r="AJ287" i="9" s="1"/>
  <c r="AJ288" i="9" s="1"/>
  <c r="AJ289" i="9" s="1"/>
  <c r="AJ290" i="9" s="1"/>
  <c r="AJ291" i="9" s="1"/>
  <c r="AJ292" i="9" s="1"/>
  <c r="AJ293" i="9" s="1"/>
  <c r="AJ294" i="9" s="1"/>
  <c r="AJ295" i="9" s="1"/>
  <c r="AJ296" i="9" s="1"/>
  <c r="AJ297" i="9" s="1"/>
  <c r="AJ298" i="9" s="1"/>
  <c r="AJ299" i="9" s="1"/>
  <c r="AJ300" i="9" s="1"/>
  <c r="AJ301" i="9" s="1"/>
  <c r="AJ302" i="9" s="1"/>
  <c r="AJ303" i="9" s="1"/>
  <c r="AJ304" i="9" s="1"/>
  <c r="AJ305" i="9" s="1"/>
  <c r="AJ306" i="9" s="1"/>
  <c r="AJ307" i="9" s="1"/>
  <c r="AJ308" i="9" s="1"/>
  <c r="AJ309" i="9" s="1"/>
  <c r="AJ310" i="9" s="1"/>
  <c r="AJ311" i="9" s="1"/>
  <c r="AJ312" i="9" s="1"/>
  <c r="AJ313" i="9" s="1"/>
  <c r="AJ314" i="9" s="1"/>
  <c r="AJ315" i="9" s="1"/>
  <c r="AJ316" i="9" s="1"/>
  <c r="AJ317" i="9" s="1"/>
  <c r="AJ318" i="9" s="1"/>
  <c r="AJ319" i="9" s="1"/>
  <c r="AJ320" i="9" s="1"/>
  <c r="AJ321" i="9" s="1"/>
  <c r="AJ322" i="9" s="1"/>
  <c r="AJ323" i="9" s="1"/>
  <c r="AJ324" i="9" s="1"/>
  <c r="AJ325" i="9" s="1"/>
  <c r="AJ326" i="9" s="1"/>
  <c r="AJ327" i="9" s="1"/>
  <c r="AJ328" i="9" s="1"/>
  <c r="AJ329" i="9" s="1"/>
  <c r="AJ330" i="9" s="1"/>
  <c r="AJ331" i="9" s="1"/>
  <c r="AJ332" i="9" s="1"/>
  <c r="AJ333" i="9" s="1"/>
  <c r="AJ334" i="9" s="1"/>
  <c r="AJ335" i="9" s="1"/>
  <c r="AJ336" i="9" s="1"/>
  <c r="AJ337" i="9" s="1"/>
  <c r="AJ338" i="9" s="1"/>
  <c r="AJ339" i="9" s="1"/>
  <c r="AJ340" i="9" s="1"/>
  <c r="AJ341" i="9" s="1"/>
  <c r="AJ342" i="9" s="1"/>
  <c r="AJ343" i="9" s="1"/>
  <c r="AJ344" i="9" s="1"/>
  <c r="AJ345" i="9" s="1"/>
  <c r="AJ346" i="9" s="1"/>
  <c r="AJ347" i="9" s="1"/>
  <c r="AJ348" i="9" s="1"/>
  <c r="AJ349" i="9" s="1"/>
  <c r="AJ350" i="9" s="1"/>
  <c r="AJ351" i="9" s="1"/>
  <c r="AJ352" i="9" s="1"/>
  <c r="AJ353" i="9" s="1"/>
  <c r="AJ354" i="9" s="1"/>
  <c r="AJ355" i="9" s="1"/>
  <c r="AJ356" i="9" s="1"/>
  <c r="AJ357" i="9" s="1"/>
  <c r="AJ358" i="9" s="1"/>
  <c r="AJ359" i="9" s="1"/>
  <c r="AJ360" i="9" s="1"/>
  <c r="AJ361" i="9" s="1"/>
  <c r="AJ362" i="9" s="1"/>
  <c r="AJ363" i="9" s="1"/>
  <c r="AJ364" i="9" s="1"/>
  <c r="AJ365" i="9" s="1"/>
  <c r="AJ366" i="9" s="1"/>
  <c r="AJ367" i="9" s="1"/>
  <c r="AJ368" i="9" s="1"/>
  <c r="AJ369" i="9" s="1"/>
  <c r="AJ370" i="9" s="1"/>
  <c r="AJ371" i="9" s="1"/>
  <c r="AJ372" i="9" s="1"/>
  <c r="AJ373" i="9" s="1"/>
  <c r="AJ374" i="9" s="1"/>
  <c r="AJ375" i="9" s="1"/>
  <c r="AJ376" i="9" s="1"/>
  <c r="AJ377" i="9" s="1"/>
  <c r="AJ378" i="9" s="1"/>
  <c r="AJ379" i="9" s="1"/>
  <c r="AJ380" i="9" s="1"/>
  <c r="AJ381" i="9" s="1"/>
  <c r="AJ382" i="9" s="1"/>
  <c r="AJ383" i="9" s="1"/>
  <c r="AJ384" i="9" s="1"/>
  <c r="AJ385" i="9" s="1"/>
  <c r="AJ386" i="9" s="1"/>
  <c r="AJ387" i="9" s="1"/>
  <c r="AJ388" i="9" s="1"/>
  <c r="AJ389" i="9" s="1"/>
  <c r="AJ390" i="9" s="1"/>
  <c r="AJ391" i="9" s="1"/>
  <c r="AJ392" i="9" s="1"/>
  <c r="AJ393" i="9" s="1"/>
  <c r="AJ394" i="9" s="1"/>
  <c r="AJ395" i="9" s="1"/>
  <c r="AJ396" i="9" s="1"/>
  <c r="AJ397" i="9" s="1"/>
  <c r="AJ398" i="9" s="1"/>
  <c r="AJ399" i="9" s="1"/>
  <c r="AJ400" i="9" s="1"/>
  <c r="AJ401" i="9" s="1"/>
  <c r="AJ402" i="9" s="1"/>
  <c r="AJ403" i="9" s="1"/>
  <c r="AJ404" i="9" s="1"/>
  <c r="AJ405" i="9" s="1"/>
  <c r="AJ406" i="9" s="1"/>
  <c r="AJ407" i="9" s="1"/>
  <c r="AJ408" i="9" s="1"/>
  <c r="AJ409" i="9" s="1"/>
  <c r="AJ410" i="9" s="1"/>
  <c r="AJ411" i="9" s="1"/>
  <c r="AJ412" i="9" s="1"/>
  <c r="AJ413" i="9" s="1"/>
  <c r="AJ414" i="9" s="1"/>
  <c r="AJ415" i="9" s="1"/>
  <c r="AJ416" i="9" s="1"/>
  <c r="AJ417" i="9" s="1"/>
  <c r="AJ418" i="9" s="1"/>
  <c r="AJ419" i="9" s="1"/>
  <c r="AH36" i="9"/>
  <c r="AH37" i="9" s="1"/>
  <c r="AH38" i="9" s="1"/>
  <c r="AH39" i="9" s="1"/>
  <c r="AH40" i="9" s="1"/>
  <c r="AH41" i="9" s="1"/>
  <c r="AH42" i="9" s="1"/>
  <c r="AH43" i="9" s="1"/>
  <c r="AH44" i="9" s="1"/>
  <c r="AH45" i="9" s="1"/>
  <c r="AH46" i="9" s="1"/>
  <c r="AH47" i="9" s="1"/>
  <c r="AH48" i="9" s="1"/>
  <c r="AH49" i="9" s="1"/>
  <c r="AH50" i="9" s="1"/>
  <c r="AH51" i="9" s="1"/>
  <c r="AH52" i="9" s="1"/>
  <c r="AO36" i="9"/>
  <c r="AO37" i="9" s="1"/>
  <c r="AO38" i="9" s="1"/>
  <c r="AO39" i="9" s="1"/>
  <c r="AO40" i="9" s="1"/>
  <c r="AO41" i="9" s="1"/>
  <c r="AO42" i="9" s="1"/>
  <c r="AO43" i="9" s="1"/>
  <c r="AO44" i="9" s="1"/>
  <c r="AO45" i="9" s="1"/>
  <c r="AO46" i="9" s="1"/>
  <c r="AO47" i="9" s="1"/>
  <c r="AO48" i="9" s="1"/>
  <c r="AO49" i="9" s="1"/>
  <c r="AO50" i="9" s="1"/>
  <c r="AO51" i="9" s="1"/>
  <c r="AO52" i="9" s="1"/>
  <c r="AK36" i="9"/>
  <c r="AK37" i="9" s="1"/>
  <c r="AK38" i="9" s="1"/>
  <c r="AK39" i="9" s="1"/>
  <c r="AK40" i="9" s="1"/>
  <c r="AK41" i="9" s="1"/>
  <c r="AK42" i="9" s="1"/>
  <c r="AK43" i="9" s="1"/>
  <c r="AK44" i="9" s="1"/>
  <c r="AK45" i="9" s="1"/>
  <c r="AK46" i="9" s="1"/>
  <c r="AK47" i="9" s="1"/>
  <c r="AK48" i="9" s="1"/>
  <c r="AK49" i="9" s="1"/>
  <c r="AK50" i="9" s="1"/>
  <c r="AK51" i="9" s="1"/>
  <c r="AK52" i="9" s="1"/>
  <c r="Y55" i="9"/>
  <c r="Y56" i="9" s="1"/>
  <c r="Y57" i="9" s="1"/>
  <c r="Y58" i="9" s="1"/>
  <c r="Y59" i="9" s="1"/>
  <c r="V7" i="9"/>
  <c r="AC23" i="9"/>
  <c r="G148" i="9"/>
  <c r="G149" i="9" s="1"/>
  <c r="G150" i="9" s="1"/>
  <c r="G151" i="9" s="1"/>
  <c r="G152" i="9" s="1"/>
  <c r="F7" i="9"/>
  <c r="B8" i="9"/>
  <c r="AL53" i="9" l="1"/>
  <c r="AL54" i="9" s="1"/>
  <c r="AL55" i="9" s="1"/>
  <c r="AL56" i="9" s="1"/>
  <c r="AL57" i="9" s="1"/>
  <c r="AL58" i="9" s="1"/>
  <c r="AL59" i="9" s="1"/>
  <c r="AL60" i="9" s="1"/>
  <c r="AL61" i="9" s="1"/>
  <c r="AL62" i="9" s="1"/>
  <c r="AL63" i="9" s="1"/>
  <c r="AL64" i="9" s="1"/>
  <c r="AL65" i="9" s="1"/>
  <c r="AL66" i="9" s="1"/>
  <c r="AL67" i="9" s="1"/>
  <c r="AL68" i="9" s="1"/>
  <c r="AL69" i="9" s="1"/>
  <c r="AL70" i="9" s="1"/>
  <c r="AL71" i="9" s="1"/>
  <c r="AL72" i="9" s="1"/>
  <c r="AL73" i="9" s="1"/>
  <c r="AL74" i="9" s="1"/>
  <c r="AL75" i="9" s="1"/>
  <c r="AL76" i="9" s="1"/>
  <c r="AL77" i="9" s="1"/>
  <c r="AL78" i="9" s="1"/>
  <c r="AL79" i="9" s="1"/>
  <c r="AL80" i="9" s="1"/>
  <c r="AL81" i="9" s="1"/>
  <c r="AL82" i="9" s="1"/>
  <c r="AL83" i="9" s="1"/>
  <c r="AL84" i="9" s="1"/>
  <c r="AL85" i="9" s="1"/>
  <c r="AL86" i="9" s="1"/>
  <c r="AL87" i="9" s="1"/>
  <c r="AL88" i="9" s="1"/>
  <c r="AL89" i="9" s="1"/>
  <c r="AL90" i="9" s="1"/>
  <c r="AL91" i="9" s="1"/>
  <c r="AL92" i="9" s="1"/>
  <c r="AL93" i="9" s="1"/>
  <c r="AL94" i="9" s="1"/>
  <c r="AL95" i="9" s="1"/>
  <c r="AL96" i="9" s="1"/>
  <c r="AL97" i="9" s="1"/>
  <c r="AL98" i="9" s="1"/>
  <c r="AL99" i="9" s="1"/>
  <c r="AL100" i="9" s="1"/>
  <c r="AL101" i="9" s="1"/>
  <c r="AL102" i="9" s="1"/>
  <c r="AL103" i="9" s="1"/>
  <c r="AL104" i="9" s="1"/>
  <c r="AL105" i="9" s="1"/>
  <c r="AL106" i="9" s="1"/>
  <c r="AL107" i="9" s="1"/>
  <c r="AL108" i="9" s="1"/>
  <c r="AL109" i="9" s="1"/>
  <c r="AL110" i="9" s="1"/>
  <c r="AL111" i="9" s="1"/>
  <c r="AL112" i="9" s="1"/>
  <c r="AL113" i="9" s="1"/>
  <c r="AL114" i="9" s="1"/>
  <c r="AL115" i="9" s="1"/>
  <c r="AL116" i="9" s="1"/>
  <c r="AL117" i="9" s="1"/>
  <c r="AL118" i="9" s="1"/>
  <c r="AL119" i="9" s="1"/>
  <c r="AL120" i="9" s="1"/>
  <c r="AL121" i="9" s="1"/>
  <c r="AL122" i="9" s="1"/>
  <c r="AL123" i="9" s="1"/>
  <c r="AL124" i="9" s="1"/>
  <c r="AL125" i="9" s="1"/>
  <c r="AL126" i="9" s="1"/>
  <c r="AL127" i="9" s="1"/>
  <c r="AL128" i="9" s="1"/>
  <c r="AL129" i="9" s="1"/>
  <c r="AL130" i="9" s="1"/>
  <c r="AL131" i="9" s="1"/>
  <c r="AL132" i="9" s="1"/>
  <c r="AL133" i="9" s="1"/>
  <c r="AL134" i="9" s="1"/>
  <c r="AL135" i="9" s="1"/>
  <c r="AL136" i="9" s="1"/>
  <c r="AL137" i="9" s="1"/>
  <c r="AL138" i="9" s="1"/>
  <c r="AL139" i="9" s="1"/>
  <c r="AL140" i="9" s="1"/>
  <c r="AL141" i="9" s="1"/>
  <c r="AL142" i="9" s="1"/>
  <c r="AL143" i="9" s="1"/>
  <c r="AL144" i="9" s="1"/>
  <c r="AL145" i="9" s="1"/>
  <c r="AL146" i="9" s="1"/>
  <c r="AL147" i="9" s="1"/>
  <c r="AL148" i="9" s="1"/>
  <c r="AL149" i="9" s="1"/>
  <c r="AL150" i="9" s="1"/>
  <c r="AL151" i="9" s="1"/>
  <c r="AL152" i="9" s="1"/>
  <c r="AL153" i="9" s="1"/>
  <c r="AL154" i="9" s="1"/>
  <c r="AL155" i="9" s="1"/>
  <c r="AL156" i="9" s="1"/>
  <c r="AL157" i="9" s="1"/>
  <c r="AL158" i="9" s="1"/>
  <c r="AL159" i="9" s="1"/>
  <c r="AL160" i="9" s="1"/>
  <c r="AL161" i="9" s="1"/>
  <c r="AL162" i="9" s="1"/>
  <c r="AL163" i="9" s="1"/>
  <c r="AL164" i="9" s="1"/>
  <c r="AL165" i="9" s="1"/>
  <c r="AL166" i="9" s="1"/>
  <c r="AL167" i="9" s="1"/>
  <c r="AL168" i="9" s="1"/>
  <c r="AL169" i="9" s="1"/>
  <c r="AL170" i="9" s="1"/>
  <c r="AL171" i="9" s="1"/>
  <c r="AL172" i="9" s="1"/>
  <c r="AL173" i="9" s="1"/>
  <c r="AL174" i="9" s="1"/>
  <c r="AL175" i="9" s="1"/>
  <c r="AL176" i="9" s="1"/>
  <c r="AL177" i="9" s="1"/>
  <c r="AL178" i="9" s="1"/>
  <c r="AL179" i="9" s="1"/>
  <c r="AL180" i="9" s="1"/>
  <c r="AL181" i="9" s="1"/>
  <c r="AL182" i="9" s="1"/>
  <c r="AL183" i="9" s="1"/>
  <c r="AL184" i="9" s="1"/>
  <c r="AL185" i="9" s="1"/>
  <c r="AL186" i="9" s="1"/>
  <c r="AL187" i="9" s="1"/>
  <c r="AL188" i="9" s="1"/>
  <c r="AL189" i="9" s="1"/>
  <c r="AL190" i="9" s="1"/>
  <c r="AL191" i="9" s="1"/>
  <c r="AL192" i="9" s="1"/>
  <c r="AL193" i="9" s="1"/>
  <c r="AL194" i="9" s="1"/>
  <c r="AL195" i="9" s="1"/>
  <c r="AL196" i="9" s="1"/>
  <c r="AL197" i="9" s="1"/>
  <c r="AL198" i="9" s="1"/>
  <c r="AL199" i="9" s="1"/>
  <c r="AL200" i="9" s="1"/>
  <c r="AL201" i="9" s="1"/>
  <c r="AL202" i="9" s="1"/>
  <c r="AL203" i="9" s="1"/>
  <c r="AL204" i="9" s="1"/>
  <c r="AL205" i="9" s="1"/>
  <c r="AL206" i="9" s="1"/>
  <c r="AL207" i="9" s="1"/>
  <c r="AL208" i="9" s="1"/>
  <c r="AL209" i="9" s="1"/>
  <c r="AL210" i="9" s="1"/>
  <c r="AL211" i="9" s="1"/>
  <c r="AL212" i="9" s="1"/>
  <c r="AL213" i="9" s="1"/>
  <c r="AL214" i="9" s="1"/>
  <c r="AL215" i="9" s="1"/>
  <c r="AL216" i="9" s="1"/>
  <c r="AL217" i="9" s="1"/>
  <c r="AL218" i="9" s="1"/>
  <c r="AL219" i="9" s="1"/>
  <c r="AL220" i="9" s="1"/>
  <c r="AL221" i="9" s="1"/>
  <c r="AL222" i="9" s="1"/>
  <c r="AL223" i="9" s="1"/>
  <c r="AL224" i="9" s="1"/>
  <c r="AL225" i="9" s="1"/>
  <c r="AL226" i="9" s="1"/>
  <c r="AL227" i="9" s="1"/>
  <c r="AL228" i="9" s="1"/>
  <c r="AL229" i="9" s="1"/>
  <c r="AL230" i="9" s="1"/>
  <c r="AL231" i="9" s="1"/>
  <c r="AL232" i="9" s="1"/>
  <c r="AL233" i="9" s="1"/>
  <c r="AL234" i="9" s="1"/>
  <c r="AL235" i="9" s="1"/>
  <c r="AL236" i="9" s="1"/>
  <c r="AL237" i="9" s="1"/>
  <c r="AL238" i="9" s="1"/>
  <c r="AL239" i="9" s="1"/>
  <c r="AL240" i="9" s="1"/>
  <c r="AL241" i="9" s="1"/>
  <c r="AL242" i="9" s="1"/>
  <c r="AL243" i="9" s="1"/>
  <c r="AL244" i="9" s="1"/>
  <c r="AL245" i="9" s="1"/>
  <c r="AL246" i="9" s="1"/>
  <c r="AL247" i="9" s="1"/>
  <c r="AL248" i="9" s="1"/>
  <c r="AL249" i="9" s="1"/>
  <c r="AL250" i="9" s="1"/>
  <c r="AL251" i="9" s="1"/>
  <c r="AL252" i="9" s="1"/>
  <c r="AL253" i="9" s="1"/>
  <c r="AL254" i="9" s="1"/>
  <c r="AL255" i="9" s="1"/>
  <c r="AL256" i="9" s="1"/>
  <c r="AL257" i="9" s="1"/>
  <c r="AL258" i="9" s="1"/>
  <c r="AL259" i="9" s="1"/>
  <c r="AL260" i="9" s="1"/>
  <c r="AL261" i="9" s="1"/>
  <c r="AL262" i="9" s="1"/>
  <c r="AL263" i="9" s="1"/>
  <c r="AL264" i="9" s="1"/>
  <c r="AL265" i="9" s="1"/>
  <c r="AL266" i="9" s="1"/>
  <c r="AL267" i="9" s="1"/>
  <c r="AL268" i="9" s="1"/>
  <c r="AL269" i="9" s="1"/>
  <c r="AL270" i="9" s="1"/>
  <c r="AL271" i="9" s="1"/>
  <c r="AL272" i="9" s="1"/>
  <c r="AL273" i="9" s="1"/>
  <c r="AL274" i="9" s="1"/>
  <c r="AL275" i="9" s="1"/>
  <c r="AL276" i="9" s="1"/>
  <c r="AL277" i="9" s="1"/>
  <c r="AL278" i="9" s="1"/>
  <c r="AL279" i="9" s="1"/>
  <c r="AL280" i="9" s="1"/>
  <c r="AL281" i="9" s="1"/>
  <c r="AL282" i="9" s="1"/>
  <c r="AL283" i="9" s="1"/>
  <c r="AL284" i="9" s="1"/>
  <c r="AL285" i="9" s="1"/>
  <c r="AL286" i="9" s="1"/>
  <c r="AL287" i="9" s="1"/>
  <c r="AL288" i="9" s="1"/>
  <c r="AL289" i="9" s="1"/>
  <c r="AL290" i="9" s="1"/>
  <c r="AL291" i="9" s="1"/>
  <c r="AL292" i="9" s="1"/>
  <c r="AL293" i="9" s="1"/>
  <c r="AL294" i="9" s="1"/>
  <c r="AL295" i="9" s="1"/>
  <c r="AL296" i="9" s="1"/>
  <c r="AL297" i="9" s="1"/>
  <c r="AL298" i="9" s="1"/>
  <c r="AL299" i="9" s="1"/>
  <c r="AL300" i="9" s="1"/>
  <c r="AL301" i="9" s="1"/>
  <c r="AL302" i="9" s="1"/>
  <c r="AL303" i="9" s="1"/>
  <c r="AL304" i="9" s="1"/>
  <c r="AL305" i="9" s="1"/>
  <c r="AL306" i="9" s="1"/>
  <c r="AL307" i="9" s="1"/>
  <c r="AL308" i="9" s="1"/>
  <c r="AL309" i="9" s="1"/>
  <c r="AL310" i="9" s="1"/>
  <c r="AL311" i="9" s="1"/>
  <c r="AL312" i="9" s="1"/>
  <c r="AL313" i="9" s="1"/>
  <c r="AL314" i="9" s="1"/>
  <c r="AL315" i="9" s="1"/>
  <c r="AL316" i="9" s="1"/>
  <c r="AL317" i="9" s="1"/>
  <c r="AL318" i="9" s="1"/>
  <c r="AL319" i="9" s="1"/>
  <c r="AL320" i="9" s="1"/>
  <c r="AL321" i="9" s="1"/>
  <c r="AL322" i="9" s="1"/>
  <c r="AL323" i="9" s="1"/>
  <c r="AL324" i="9" s="1"/>
  <c r="AL325" i="9" s="1"/>
  <c r="AL326" i="9" s="1"/>
  <c r="AL327" i="9" s="1"/>
  <c r="AL328" i="9" s="1"/>
  <c r="AL329" i="9" s="1"/>
  <c r="AL330" i="9" s="1"/>
  <c r="AL331" i="9" s="1"/>
  <c r="AL332" i="9" s="1"/>
  <c r="AL333" i="9" s="1"/>
  <c r="AL334" i="9" s="1"/>
  <c r="AL335" i="9" s="1"/>
  <c r="AL336" i="9" s="1"/>
  <c r="AL337" i="9" s="1"/>
  <c r="AL338" i="9" s="1"/>
  <c r="AL339" i="9" s="1"/>
  <c r="AL340" i="9" s="1"/>
  <c r="AL341" i="9" s="1"/>
  <c r="AL342" i="9" s="1"/>
  <c r="AL343" i="9" s="1"/>
  <c r="AL344" i="9" s="1"/>
  <c r="AL345" i="9" s="1"/>
  <c r="AL346" i="9" s="1"/>
  <c r="AL347" i="9" s="1"/>
  <c r="AL348" i="9" s="1"/>
  <c r="AL349" i="9" s="1"/>
  <c r="AL350" i="9" s="1"/>
  <c r="AL351" i="9" s="1"/>
  <c r="AL352" i="9" s="1"/>
  <c r="AL353" i="9" s="1"/>
  <c r="AL354" i="9" s="1"/>
  <c r="AL355" i="9" s="1"/>
  <c r="AL356" i="9" s="1"/>
  <c r="AL357" i="9" s="1"/>
  <c r="AL358" i="9" s="1"/>
  <c r="AL359" i="9" s="1"/>
  <c r="AL360" i="9" s="1"/>
  <c r="AL361" i="9" s="1"/>
  <c r="AL362" i="9" s="1"/>
  <c r="AL363" i="9" s="1"/>
  <c r="AL364" i="9" s="1"/>
  <c r="AL365" i="9" s="1"/>
  <c r="AL366" i="9" s="1"/>
  <c r="AL367" i="9" s="1"/>
  <c r="AL368" i="9" s="1"/>
  <c r="AL369" i="9" s="1"/>
  <c r="AL370" i="9" s="1"/>
  <c r="AL371" i="9" s="1"/>
  <c r="AL372" i="9" s="1"/>
  <c r="AL373" i="9" s="1"/>
  <c r="AL374" i="9" s="1"/>
  <c r="AL375" i="9" s="1"/>
  <c r="AL376" i="9" s="1"/>
  <c r="AL377" i="9" s="1"/>
  <c r="AL378" i="9" s="1"/>
  <c r="AL379" i="9" s="1"/>
  <c r="AL380" i="9" s="1"/>
  <c r="AL381" i="9" s="1"/>
  <c r="AL382" i="9" s="1"/>
  <c r="AL383" i="9" s="1"/>
  <c r="AL384" i="9" s="1"/>
  <c r="AL385" i="9" s="1"/>
  <c r="AL386" i="9" s="1"/>
  <c r="AL387" i="9" s="1"/>
  <c r="AL388" i="9" s="1"/>
  <c r="AL389" i="9" s="1"/>
  <c r="AL390" i="9" s="1"/>
  <c r="AL391" i="9" s="1"/>
  <c r="AL392" i="9" s="1"/>
  <c r="AL393" i="9" s="1"/>
  <c r="AL394" i="9" s="1"/>
  <c r="AL395" i="9" s="1"/>
  <c r="AL396" i="9" s="1"/>
  <c r="AL397" i="9" s="1"/>
  <c r="AL398" i="9" s="1"/>
  <c r="AL399" i="9" s="1"/>
  <c r="AL400" i="9" s="1"/>
  <c r="AL401" i="9" s="1"/>
  <c r="AL402" i="9" s="1"/>
  <c r="AL403" i="9" s="1"/>
  <c r="AL404" i="9" s="1"/>
  <c r="AL405" i="9" s="1"/>
  <c r="AL406" i="9" s="1"/>
  <c r="AL407" i="9" s="1"/>
  <c r="AL408" i="9" s="1"/>
  <c r="AL409" i="9" s="1"/>
  <c r="AL410" i="9" s="1"/>
  <c r="AL411" i="9" s="1"/>
  <c r="AL412" i="9" s="1"/>
  <c r="AL413" i="9" s="1"/>
  <c r="AL414" i="9" s="1"/>
  <c r="AL415" i="9" s="1"/>
  <c r="AL416" i="9" s="1"/>
  <c r="AL417" i="9" s="1"/>
  <c r="AL418" i="9" s="1"/>
  <c r="AL419" i="9" s="1"/>
  <c r="AE53" i="9"/>
  <c r="AE54" i="9" s="1"/>
  <c r="AE55" i="9" s="1"/>
  <c r="AE56" i="9" s="1"/>
  <c r="AE57" i="9" s="1"/>
  <c r="AE58" i="9" s="1"/>
  <c r="AK53" i="9"/>
  <c r="AK54" i="9" s="1"/>
  <c r="AK55" i="9" s="1"/>
  <c r="AK56" i="9" s="1"/>
  <c r="AK57" i="9" s="1"/>
  <c r="AK58" i="9" s="1"/>
  <c r="AK59" i="9" s="1"/>
  <c r="AK60" i="9" s="1"/>
  <c r="AK61" i="9" s="1"/>
  <c r="AK62" i="9" s="1"/>
  <c r="AK63" i="9" s="1"/>
  <c r="AK64" i="9" s="1"/>
  <c r="AK65" i="9" s="1"/>
  <c r="AK66" i="9" s="1"/>
  <c r="AK67" i="9" s="1"/>
  <c r="AK68" i="9" s="1"/>
  <c r="AK69" i="9" s="1"/>
  <c r="AK70" i="9" s="1"/>
  <c r="AK71" i="9" s="1"/>
  <c r="AK72" i="9" s="1"/>
  <c r="AK73" i="9" s="1"/>
  <c r="AK74" i="9" s="1"/>
  <c r="AK75" i="9" s="1"/>
  <c r="AK76" i="9" s="1"/>
  <c r="AK77" i="9" s="1"/>
  <c r="AK78" i="9" s="1"/>
  <c r="AK79" i="9" s="1"/>
  <c r="AK80" i="9" s="1"/>
  <c r="AK81" i="9" s="1"/>
  <c r="AK82" i="9" s="1"/>
  <c r="AK83" i="9" s="1"/>
  <c r="AK84" i="9" s="1"/>
  <c r="AK85" i="9" s="1"/>
  <c r="AK86" i="9" s="1"/>
  <c r="AK87" i="9" s="1"/>
  <c r="AK88" i="9" s="1"/>
  <c r="AK89" i="9" s="1"/>
  <c r="AK90" i="9" s="1"/>
  <c r="AK91" i="9" s="1"/>
  <c r="AK92" i="9" s="1"/>
  <c r="AK93" i="9" s="1"/>
  <c r="AK94" i="9" s="1"/>
  <c r="AK95" i="9" s="1"/>
  <c r="AK96" i="9" s="1"/>
  <c r="AK97" i="9" s="1"/>
  <c r="AK98" i="9" s="1"/>
  <c r="AK99" i="9" s="1"/>
  <c r="AK100" i="9" s="1"/>
  <c r="AK101" i="9" s="1"/>
  <c r="AK102" i="9" s="1"/>
  <c r="AK103" i="9" s="1"/>
  <c r="AK104" i="9" s="1"/>
  <c r="AK105" i="9" s="1"/>
  <c r="AK106" i="9" s="1"/>
  <c r="AK107" i="9" s="1"/>
  <c r="AK108" i="9" s="1"/>
  <c r="AK109" i="9" s="1"/>
  <c r="AK110" i="9" s="1"/>
  <c r="AK111" i="9" s="1"/>
  <c r="AK112" i="9" s="1"/>
  <c r="AK113" i="9" s="1"/>
  <c r="AK114" i="9" s="1"/>
  <c r="AK115" i="9" s="1"/>
  <c r="AK116" i="9" s="1"/>
  <c r="AK117" i="9" s="1"/>
  <c r="AK118" i="9" s="1"/>
  <c r="AK119" i="9" s="1"/>
  <c r="AK120" i="9" s="1"/>
  <c r="AK121" i="9" s="1"/>
  <c r="AK122" i="9" s="1"/>
  <c r="AK123" i="9" s="1"/>
  <c r="AK124" i="9" s="1"/>
  <c r="AK125" i="9" s="1"/>
  <c r="AK126" i="9" s="1"/>
  <c r="AK127" i="9" s="1"/>
  <c r="AK128" i="9" s="1"/>
  <c r="AK129" i="9" s="1"/>
  <c r="AK130" i="9" s="1"/>
  <c r="AK131" i="9" s="1"/>
  <c r="AK132" i="9" s="1"/>
  <c r="AK133" i="9" s="1"/>
  <c r="AK134" i="9" s="1"/>
  <c r="AK135" i="9" s="1"/>
  <c r="AK136" i="9" s="1"/>
  <c r="AK137" i="9" s="1"/>
  <c r="AK138" i="9" s="1"/>
  <c r="AK139" i="9" s="1"/>
  <c r="AK140" i="9" s="1"/>
  <c r="AK141" i="9" s="1"/>
  <c r="AK142" i="9" s="1"/>
  <c r="AK143" i="9" s="1"/>
  <c r="AK144" i="9" s="1"/>
  <c r="AK145" i="9" s="1"/>
  <c r="AK146" i="9" s="1"/>
  <c r="AK147" i="9" s="1"/>
  <c r="AK148" i="9" s="1"/>
  <c r="AK149" i="9" s="1"/>
  <c r="AK150" i="9" s="1"/>
  <c r="AK151" i="9" s="1"/>
  <c r="AK152" i="9" s="1"/>
  <c r="AK153" i="9" s="1"/>
  <c r="AK154" i="9" s="1"/>
  <c r="AK155" i="9" s="1"/>
  <c r="AK156" i="9" s="1"/>
  <c r="AK157" i="9" s="1"/>
  <c r="AK158" i="9" s="1"/>
  <c r="AK159" i="9" s="1"/>
  <c r="AK160" i="9" s="1"/>
  <c r="AK161" i="9" s="1"/>
  <c r="AK162" i="9" s="1"/>
  <c r="AK163" i="9" s="1"/>
  <c r="AK164" i="9" s="1"/>
  <c r="AK165" i="9" s="1"/>
  <c r="AK166" i="9" s="1"/>
  <c r="AK167" i="9" s="1"/>
  <c r="AK168" i="9" s="1"/>
  <c r="AK169" i="9" s="1"/>
  <c r="AK170" i="9" s="1"/>
  <c r="AK171" i="9" s="1"/>
  <c r="AK172" i="9" s="1"/>
  <c r="AK173" i="9" s="1"/>
  <c r="AK174" i="9" s="1"/>
  <c r="AK175" i="9" s="1"/>
  <c r="AK176" i="9" s="1"/>
  <c r="AK177" i="9" s="1"/>
  <c r="AK178" i="9" s="1"/>
  <c r="AK179" i="9" s="1"/>
  <c r="AK180" i="9" s="1"/>
  <c r="AK181" i="9" s="1"/>
  <c r="AK182" i="9" s="1"/>
  <c r="AK183" i="9" s="1"/>
  <c r="AK184" i="9" s="1"/>
  <c r="AK185" i="9" s="1"/>
  <c r="AK186" i="9" s="1"/>
  <c r="AK187" i="9" s="1"/>
  <c r="AK188" i="9" s="1"/>
  <c r="AK189" i="9" s="1"/>
  <c r="AK190" i="9" s="1"/>
  <c r="AK191" i="9" s="1"/>
  <c r="AK192" i="9" s="1"/>
  <c r="AK193" i="9" s="1"/>
  <c r="AK194" i="9" s="1"/>
  <c r="AK195" i="9" s="1"/>
  <c r="AK196" i="9" s="1"/>
  <c r="AK197" i="9" s="1"/>
  <c r="AK198" i="9" s="1"/>
  <c r="AK199" i="9" s="1"/>
  <c r="AK200" i="9" s="1"/>
  <c r="AK201" i="9" s="1"/>
  <c r="AK202" i="9" s="1"/>
  <c r="AK203" i="9" s="1"/>
  <c r="AK204" i="9" s="1"/>
  <c r="AK205" i="9" s="1"/>
  <c r="AK206" i="9" s="1"/>
  <c r="AK207" i="9" s="1"/>
  <c r="AK208" i="9" s="1"/>
  <c r="AK209" i="9" s="1"/>
  <c r="AK210" i="9" s="1"/>
  <c r="AK211" i="9" s="1"/>
  <c r="AK212" i="9" s="1"/>
  <c r="AK213" i="9" s="1"/>
  <c r="AK214" i="9" s="1"/>
  <c r="AK215" i="9" s="1"/>
  <c r="AK216" i="9" s="1"/>
  <c r="AK217" i="9" s="1"/>
  <c r="AK218" i="9" s="1"/>
  <c r="AK219" i="9" s="1"/>
  <c r="AK220" i="9" s="1"/>
  <c r="AK221" i="9" s="1"/>
  <c r="AK222" i="9" s="1"/>
  <c r="AK223" i="9" s="1"/>
  <c r="AK224" i="9" s="1"/>
  <c r="AK225" i="9" s="1"/>
  <c r="AK226" i="9" s="1"/>
  <c r="AK227" i="9" s="1"/>
  <c r="AK228" i="9" s="1"/>
  <c r="AK229" i="9" s="1"/>
  <c r="AK230" i="9" s="1"/>
  <c r="AK231" i="9" s="1"/>
  <c r="AK232" i="9" s="1"/>
  <c r="AK233" i="9" s="1"/>
  <c r="AK234" i="9" s="1"/>
  <c r="AK235" i="9" s="1"/>
  <c r="AK236" i="9" s="1"/>
  <c r="AK237" i="9" s="1"/>
  <c r="AK238" i="9" s="1"/>
  <c r="AK239" i="9" s="1"/>
  <c r="AK240" i="9" s="1"/>
  <c r="AK241" i="9" s="1"/>
  <c r="AK242" i="9" s="1"/>
  <c r="AK243" i="9" s="1"/>
  <c r="AK244" i="9" s="1"/>
  <c r="AK245" i="9" s="1"/>
  <c r="AK246" i="9" s="1"/>
  <c r="AK247" i="9" s="1"/>
  <c r="AK248" i="9" s="1"/>
  <c r="AK249" i="9" s="1"/>
  <c r="AK250" i="9" s="1"/>
  <c r="AK251" i="9" s="1"/>
  <c r="AK252" i="9" s="1"/>
  <c r="AK253" i="9" s="1"/>
  <c r="AK254" i="9" s="1"/>
  <c r="AK255" i="9" s="1"/>
  <c r="AK256" i="9" s="1"/>
  <c r="AK257" i="9" s="1"/>
  <c r="AK258" i="9" s="1"/>
  <c r="AK259" i="9" s="1"/>
  <c r="AK260" i="9" s="1"/>
  <c r="AK261" i="9" s="1"/>
  <c r="AK262" i="9" s="1"/>
  <c r="AK263" i="9" s="1"/>
  <c r="AK264" i="9" s="1"/>
  <c r="AK265" i="9" s="1"/>
  <c r="AK266" i="9" s="1"/>
  <c r="AK267" i="9" s="1"/>
  <c r="AK268" i="9" s="1"/>
  <c r="AK269" i="9" s="1"/>
  <c r="AK270" i="9" s="1"/>
  <c r="AK271" i="9" s="1"/>
  <c r="AK272" i="9" s="1"/>
  <c r="AK273" i="9" s="1"/>
  <c r="AK274" i="9" s="1"/>
  <c r="AK275" i="9" s="1"/>
  <c r="AK276" i="9" s="1"/>
  <c r="AK277" i="9" s="1"/>
  <c r="AK278" i="9" s="1"/>
  <c r="AK279" i="9" s="1"/>
  <c r="AK280" i="9" s="1"/>
  <c r="AK281" i="9" s="1"/>
  <c r="AK282" i="9" s="1"/>
  <c r="AK283" i="9" s="1"/>
  <c r="AK284" i="9" s="1"/>
  <c r="AK285" i="9" s="1"/>
  <c r="AK286" i="9" s="1"/>
  <c r="AK287" i="9" s="1"/>
  <c r="AK288" i="9" s="1"/>
  <c r="AK289" i="9" s="1"/>
  <c r="AK290" i="9" s="1"/>
  <c r="AK291" i="9" s="1"/>
  <c r="AK292" i="9" s="1"/>
  <c r="AK293" i="9" s="1"/>
  <c r="AK294" i="9" s="1"/>
  <c r="AK295" i="9" s="1"/>
  <c r="AK296" i="9" s="1"/>
  <c r="AK297" i="9" s="1"/>
  <c r="AK298" i="9" s="1"/>
  <c r="AK299" i="9" s="1"/>
  <c r="AK300" i="9" s="1"/>
  <c r="AK301" i="9" s="1"/>
  <c r="AK302" i="9" s="1"/>
  <c r="AK303" i="9" s="1"/>
  <c r="AK304" i="9" s="1"/>
  <c r="AK305" i="9" s="1"/>
  <c r="AK306" i="9" s="1"/>
  <c r="AK307" i="9" s="1"/>
  <c r="AK308" i="9" s="1"/>
  <c r="AK309" i="9" s="1"/>
  <c r="AK310" i="9" s="1"/>
  <c r="AK311" i="9" s="1"/>
  <c r="AK312" i="9" s="1"/>
  <c r="AK313" i="9" s="1"/>
  <c r="AK314" i="9" s="1"/>
  <c r="AK315" i="9" s="1"/>
  <c r="AK316" i="9" s="1"/>
  <c r="AK317" i="9" s="1"/>
  <c r="AK318" i="9" s="1"/>
  <c r="AK319" i="9" s="1"/>
  <c r="AK320" i="9" s="1"/>
  <c r="AK321" i="9" s="1"/>
  <c r="AK322" i="9" s="1"/>
  <c r="AK323" i="9" s="1"/>
  <c r="AK324" i="9" s="1"/>
  <c r="AK325" i="9" s="1"/>
  <c r="AK326" i="9" s="1"/>
  <c r="AK327" i="9" s="1"/>
  <c r="AK328" i="9" s="1"/>
  <c r="AK329" i="9" s="1"/>
  <c r="AK330" i="9" s="1"/>
  <c r="AK331" i="9" s="1"/>
  <c r="AK332" i="9" s="1"/>
  <c r="AK333" i="9" s="1"/>
  <c r="AK334" i="9" s="1"/>
  <c r="AK335" i="9" s="1"/>
  <c r="AK336" i="9" s="1"/>
  <c r="AK337" i="9" s="1"/>
  <c r="AK338" i="9" s="1"/>
  <c r="AK339" i="9" s="1"/>
  <c r="AK340" i="9" s="1"/>
  <c r="AK341" i="9" s="1"/>
  <c r="AK342" i="9" s="1"/>
  <c r="AK343" i="9" s="1"/>
  <c r="AK344" i="9" s="1"/>
  <c r="AK345" i="9" s="1"/>
  <c r="AK346" i="9" s="1"/>
  <c r="AK347" i="9" s="1"/>
  <c r="AK348" i="9" s="1"/>
  <c r="AK349" i="9" s="1"/>
  <c r="AK350" i="9" s="1"/>
  <c r="AK351" i="9" s="1"/>
  <c r="AK352" i="9" s="1"/>
  <c r="AK353" i="9" s="1"/>
  <c r="AK354" i="9" s="1"/>
  <c r="AK355" i="9" s="1"/>
  <c r="AK356" i="9" s="1"/>
  <c r="AK357" i="9" s="1"/>
  <c r="AK358" i="9" s="1"/>
  <c r="AK359" i="9" s="1"/>
  <c r="AK360" i="9" s="1"/>
  <c r="AK361" i="9" s="1"/>
  <c r="AK362" i="9" s="1"/>
  <c r="AK363" i="9" s="1"/>
  <c r="AK364" i="9" s="1"/>
  <c r="AK365" i="9" s="1"/>
  <c r="AK366" i="9" s="1"/>
  <c r="AK367" i="9" s="1"/>
  <c r="AK368" i="9" s="1"/>
  <c r="AK369" i="9" s="1"/>
  <c r="AK370" i="9" s="1"/>
  <c r="AK371" i="9" s="1"/>
  <c r="AK372" i="9" s="1"/>
  <c r="AK373" i="9" s="1"/>
  <c r="AK374" i="9" s="1"/>
  <c r="AK375" i="9" s="1"/>
  <c r="AK376" i="9" s="1"/>
  <c r="AK377" i="9" s="1"/>
  <c r="AK378" i="9" s="1"/>
  <c r="AK379" i="9" s="1"/>
  <c r="AK380" i="9" s="1"/>
  <c r="AK381" i="9" s="1"/>
  <c r="AK382" i="9" s="1"/>
  <c r="AK383" i="9" s="1"/>
  <c r="AK384" i="9" s="1"/>
  <c r="AK385" i="9" s="1"/>
  <c r="AK386" i="9" s="1"/>
  <c r="AK387" i="9" s="1"/>
  <c r="AK388" i="9" s="1"/>
  <c r="AK389" i="9" s="1"/>
  <c r="AK390" i="9" s="1"/>
  <c r="AK391" i="9" s="1"/>
  <c r="AK392" i="9" s="1"/>
  <c r="AK393" i="9" s="1"/>
  <c r="AK394" i="9" s="1"/>
  <c r="AK395" i="9" s="1"/>
  <c r="AK396" i="9" s="1"/>
  <c r="AK397" i="9" s="1"/>
  <c r="AK398" i="9" s="1"/>
  <c r="AK399" i="9" s="1"/>
  <c r="AK400" i="9" s="1"/>
  <c r="AK401" i="9" s="1"/>
  <c r="AK402" i="9" s="1"/>
  <c r="AK403" i="9" s="1"/>
  <c r="AK404" i="9" s="1"/>
  <c r="AK405" i="9" s="1"/>
  <c r="AK406" i="9" s="1"/>
  <c r="AK407" i="9" s="1"/>
  <c r="AK408" i="9" s="1"/>
  <c r="AK409" i="9" s="1"/>
  <c r="AK410" i="9" s="1"/>
  <c r="AK411" i="9" s="1"/>
  <c r="AK412" i="9" s="1"/>
  <c r="AK413" i="9" s="1"/>
  <c r="AK414" i="9" s="1"/>
  <c r="AK415" i="9" s="1"/>
  <c r="AK416" i="9" s="1"/>
  <c r="AK417" i="9" s="1"/>
  <c r="AK418" i="9" s="1"/>
  <c r="AK419" i="9" s="1"/>
  <c r="AF53" i="9"/>
  <c r="AF54" i="9" s="1"/>
  <c r="AF55" i="9" s="1"/>
  <c r="AF56" i="9" s="1"/>
  <c r="AF57" i="9" s="1"/>
  <c r="AF58" i="9" s="1"/>
  <c r="AF59" i="9" s="1"/>
  <c r="AF60" i="9" s="1"/>
  <c r="AF61" i="9" s="1"/>
  <c r="AF62" i="9" s="1"/>
  <c r="AF63" i="9" s="1"/>
  <c r="AF64" i="9" s="1"/>
  <c r="AF65" i="9" s="1"/>
  <c r="AF66" i="9" s="1"/>
  <c r="AF67" i="9" s="1"/>
  <c r="AF68" i="9" s="1"/>
  <c r="AF69" i="9" s="1"/>
  <c r="AF70" i="9" s="1"/>
  <c r="AF71" i="9" s="1"/>
  <c r="AF72" i="9" s="1"/>
  <c r="AF73" i="9" s="1"/>
  <c r="AF74" i="9" s="1"/>
  <c r="AF75" i="9" s="1"/>
  <c r="AF76" i="9" s="1"/>
  <c r="AF77" i="9" s="1"/>
  <c r="AF78" i="9" s="1"/>
  <c r="AF79" i="9" s="1"/>
  <c r="AF80" i="9" s="1"/>
  <c r="AF81" i="9" s="1"/>
  <c r="AF82" i="9" s="1"/>
  <c r="AF83" i="9" s="1"/>
  <c r="AF84" i="9" s="1"/>
  <c r="AF85" i="9" s="1"/>
  <c r="AF86" i="9" s="1"/>
  <c r="AF87" i="9" s="1"/>
  <c r="AF88" i="9" s="1"/>
  <c r="AF89" i="9" s="1"/>
  <c r="AF90" i="9" s="1"/>
  <c r="AF91" i="9" s="1"/>
  <c r="AF92" i="9" s="1"/>
  <c r="AF93" i="9" s="1"/>
  <c r="AF94" i="9" s="1"/>
  <c r="AF95" i="9" s="1"/>
  <c r="AF96" i="9" s="1"/>
  <c r="AF97" i="9" s="1"/>
  <c r="AF98" i="9" s="1"/>
  <c r="AF99" i="9" s="1"/>
  <c r="AF100" i="9" s="1"/>
  <c r="AF101" i="9" s="1"/>
  <c r="AF102" i="9" s="1"/>
  <c r="AF103" i="9" s="1"/>
  <c r="AF104" i="9" s="1"/>
  <c r="AF105" i="9" s="1"/>
  <c r="AF106" i="9" s="1"/>
  <c r="AF107" i="9" s="1"/>
  <c r="AF108" i="9" s="1"/>
  <c r="AF109" i="9" s="1"/>
  <c r="AF110" i="9" s="1"/>
  <c r="AF111" i="9" s="1"/>
  <c r="AF112" i="9" s="1"/>
  <c r="AF113" i="9" s="1"/>
  <c r="AF114" i="9" s="1"/>
  <c r="AF115" i="9" s="1"/>
  <c r="AF116" i="9" s="1"/>
  <c r="AF117" i="9" s="1"/>
  <c r="AF118" i="9" s="1"/>
  <c r="AF119" i="9" s="1"/>
  <c r="AF120" i="9" s="1"/>
  <c r="AF121" i="9" s="1"/>
  <c r="AF122" i="9" s="1"/>
  <c r="AF123" i="9" s="1"/>
  <c r="AF124" i="9" s="1"/>
  <c r="AF125" i="9" s="1"/>
  <c r="AF126" i="9" s="1"/>
  <c r="AF127" i="9" s="1"/>
  <c r="AF128" i="9" s="1"/>
  <c r="AF129" i="9" s="1"/>
  <c r="AF130" i="9" s="1"/>
  <c r="AF131" i="9" s="1"/>
  <c r="AF132" i="9" s="1"/>
  <c r="AF133" i="9" s="1"/>
  <c r="AF134" i="9" s="1"/>
  <c r="AF135" i="9" s="1"/>
  <c r="AF136" i="9" s="1"/>
  <c r="AF137" i="9" s="1"/>
  <c r="AF138" i="9" s="1"/>
  <c r="AF139" i="9" s="1"/>
  <c r="AF140" i="9" s="1"/>
  <c r="AF141" i="9" s="1"/>
  <c r="AF142" i="9" s="1"/>
  <c r="AF143" i="9" s="1"/>
  <c r="AF144" i="9" s="1"/>
  <c r="AF145" i="9" s="1"/>
  <c r="AF146" i="9" s="1"/>
  <c r="AF147" i="9" s="1"/>
  <c r="AF148" i="9" s="1"/>
  <c r="AF149" i="9" s="1"/>
  <c r="AF150" i="9" s="1"/>
  <c r="AF151" i="9" s="1"/>
  <c r="AF152" i="9" s="1"/>
  <c r="AF153" i="9" s="1"/>
  <c r="AN53" i="9"/>
  <c r="AN54" i="9" s="1"/>
  <c r="AN55" i="9" s="1"/>
  <c r="AN56" i="9" s="1"/>
  <c r="AN57" i="9" s="1"/>
  <c r="AN58" i="9" s="1"/>
  <c r="AN59" i="9" s="1"/>
  <c r="AN60" i="9" s="1"/>
  <c r="AN61" i="9" s="1"/>
  <c r="AN62" i="9" s="1"/>
  <c r="AN63" i="9" s="1"/>
  <c r="AN64" i="9" s="1"/>
  <c r="AN65" i="9" s="1"/>
  <c r="AN66" i="9" s="1"/>
  <c r="AN67" i="9" s="1"/>
  <c r="AN68" i="9" s="1"/>
  <c r="AN69" i="9" s="1"/>
  <c r="AN70" i="9" s="1"/>
  <c r="AN71" i="9" s="1"/>
  <c r="AN72" i="9" s="1"/>
  <c r="AN73" i="9" s="1"/>
  <c r="AN74" i="9" s="1"/>
  <c r="AN75" i="9" s="1"/>
  <c r="AN76" i="9" s="1"/>
  <c r="AN77" i="9" s="1"/>
  <c r="AN78" i="9" s="1"/>
  <c r="AN79" i="9" s="1"/>
  <c r="AN80" i="9" s="1"/>
  <c r="AN81" i="9" s="1"/>
  <c r="AN82" i="9" s="1"/>
  <c r="AN83" i="9" s="1"/>
  <c r="AN84" i="9" s="1"/>
  <c r="AN85" i="9" s="1"/>
  <c r="AN86" i="9" s="1"/>
  <c r="AN87" i="9" s="1"/>
  <c r="AN88" i="9" s="1"/>
  <c r="AN89" i="9" s="1"/>
  <c r="AN90" i="9" s="1"/>
  <c r="AN91" i="9" s="1"/>
  <c r="AN92" i="9" s="1"/>
  <c r="AN93" i="9" s="1"/>
  <c r="AN94" i="9" s="1"/>
  <c r="AN95" i="9" s="1"/>
  <c r="AN96" i="9" s="1"/>
  <c r="AN97" i="9" s="1"/>
  <c r="AN98" i="9" s="1"/>
  <c r="AN99" i="9" s="1"/>
  <c r="AN100" i="9" s="1"/>
  <c r="AN101" i="9" s="1"/>
  <c r="AN102" i="9" s="1"/>
  <c r="AN103" i="9" s="1"/>
  <c r="AN104" i="9" s="1"/>
  <c r="AN105" i="9" s="1"/>
  <c r="AN106" i="9" s="1"/>
  <c r="AN107" i="9" s="1"/>
  <c r="AN108" i="9" s="1"/>
  <c r="AN109" i="9" s="1"/>
  <c r="AN110" i="9" s="1"/>
  <c r="AN111" i="9" s="1"/>
  <c r="AN112" i="9" s="1"/>
  <c r="AN113" i="9" s="1"/>
  <c r="AN114" i="9" s="1"/>
  <c r="AN115" i="9" s="1"/>
  <c r="AN116" i="9" s="1"/>
  <c r="AN117" i="9" s="1"/>
  <c r="AN118" i="9" s="1"/>
  <c r="AN119" i="9" s="1"/>
  <c r="AN120" i="9" s="1"/>
  <c r="AN121" i="9" s="1"/>
  <c r="AN122" i="9" s="1"/>
  <c r="AN123" i="9" s="1"/>
  <c r="AN124" i="9" s="1"/>
  <c r="AN125" i="9" s="1"/>
  <c r="AN126" i="9" s="1"/>
  <c r="AN127" i="9" s="1"/>
  <c r="AN128" i="9" s="1"/>
  <c r="AN129" i="9" s="1"/>
  <c r="AN130" i="9" s="1"/>
  <c r="AN131" i="9" s="1"/>
  <c r="AN132" i="9" s="1"/>
  <c r="AN133" i="9" s="1"/>
  <c r="AN134" i="9" s="1"/>
  <c r="AN135" i="9" s="1"/>
  <c r="AN136" i="9" s="1"/>
  <c r="AN137" i="9" s="1"/>
  <c r="AN138" i="9" s="1"/>
  <c r="AN139" i="9" s="1"/>
  <c r="AN140" i="9" s="1"/>
  <c r="AN141" i="9" s="1"/>
  <c r="AN142" i="9" s="1"/>
  <c r="AN143" i="9" s="1"/>
  <c r="AN144" i="9" s="1"/>
  <c r="AN145" i="9" s="1"/>
  <c r="AN146" i="9" s="1"/>
  <c r="AN147" i="9" s="1"/>
  <c r="AN148" i="9" s="1"/>
  <c r="AN149" i="9" s="1"/>
  <c r="AN150" i="9" s="1"/>
  <c r="AN151" i="9" s="1"/>
  <c r="AN152" i="9" s="1"/>
  <c r="AN153" i="9" s="1"/>
  <c r="AN154" i="9" s="1"/>
  <c r="AN155" i="9" s="1"/>
  <c r="AN156" i="9" s="1"/>
  <c r="AN157" i="9" s="1"/>
  <c r="AN158" i="9" s="1"/>
  <c r="AN159" i="9" s="1"/>
  <c r="AN160" i="9" s="1"/>
  <c r="AN161" i="9" s="1"/>
  <c r="AN162" i="9" s="1"/>
  <c r="AN163" i="9" s="1"/>
  <c r="AN164" i="9" s="1"/>
  <c r="AN165" i="9" s="1"/>
  <c r="AN166" i="9" s="1"/>
  <c r="AN167" i="9" s="1"/>
  <c r="AN168" i="9" s="1"/>
  <c r="AN169" i="9" s="1"/>
  <c r="AN170" i="9" s="1"/>
  <c r="AN171" i="9" s="1"/>
  <c r="AN172" i="9" s="1"/>
  <c r="AN173" i="9" s="1"/>
  <c r="AN174" i="9" s="1"/>
  <c r="AN175" i="9" s="1"/>
  <c r="AN176" i="9" s="1"/>
  <c r="AN177" i="9" s="1"/>
  <c r="AN178" i="9" s="1"/>
  <c r="AN179" i="9" s="1"/>
  <c r="AN180" i="9" s="1"/>
  <c r="AN181" i="9" s="1"/>
  <c r="AN182" i="9" s="1"/>
  <c r="AN183" i="9" s="1"/>
  <c r="AN184" i="9" s="1"/>
  <c r="AN185" i="9" s="1"/>
  <c r="AN186" i="9" s="1"/>
  <c r="AN187" i="9" s="1"/>
  <c r="AN188" i="9" s="1"/>
  <c r="AN189" i="9" s="1"/>
  <c r="AN190" i="9" s="1"/>
  <c r="AN191" i="9" s="1"/>
  <c r="AN192" i="9" s="1"/>
  <c r="AN193" i="9" s="1"/>
  <c r="AN194" i="9" s="1"/>
  <c r="AN195" i="9" s="1"/>
  <c r="AN196" i="9" s="1"/>
  <c r="AN197" i="9" s="1"/>
  <c r="AN198" i="9" s="1"/>
  <c r="AN199" i="9" s="1"/>
  <c r="AN200" i="9" s="1"/>
  <c r="AN201" i="9" s="1"/>
  <c r="AN202" i="9" s="1"/>
  <c r="AN203" i="9" s="1"/>
  <c r="AN204" i="9" s="1"/>
  <c r="AN205" i="9" s="1"/>
  <c r="AN206" i="9" s="1"/>
  <c r="AN207" i="9" s="1"/>
  <c r="AN208" i="9" s="1"/>
  <c r="AN209" i="9" s="1"/>
  <c r="AN210" i="9" s="1"/>
  <c r="AN211" i="9" s="1"/>
  <c r="AN212" i="9" s="1"/>
  <c r="AN213" i="9" s="1"/>
  <c r="AN214" i="9" s="1"/>
  <c r="AN215" i="9" s="1"/>
  <c r="AN216" i="9" s="1"/>
  <c r="AN217" i="9" s="1"/>
  <c r="AN218" i="9" s="1"/>
  <c r="AN219" i="9" s="1"/>
  <c r="AN220" i="9" s="1"/>
  <c r="AN221" i="9" s="1"/>
  <c r="AN222" i="9" s="1"/>
  <c r="AN223" i="9" s="1"/>
  <c r="AN224" i="9" s="1"/>
  <c r="AN225" i="9" s="1"/>
  <c r="AN226" i="9" s="1"/>
  <c r="AN227" i="9" s="1"/>
  <c r="AN228" i="9" s="1"/>
  <c r="AN229" i="9" s="1"/>
  <c r="AN230" i="9" s="1"/>
  <c r="AN231" i="9" s="1"/>
  <c r="AN232" i="9" s="1"/>
  <c r="AN233" i="9" s="1"/>
  <c r="AN234" i="9" s="1"/>
  <c r="AN235" i="9" s="1"/>
  <c r="AN236" i="9" s="1"/>
  <c r="AN237" i="9" s="1"/>
  <c r="AN238" i="9" s="1"/>
  <c r="AN239" i="9" s="1"/>
  <c r="AN240" i="9" s="1"/>
  <c r="AN241" i="9" s="1"/>
  <c r="AN242" i="9" s="1"/>
  <c r="AN243" i="9" s="1"/>
  <c r="AN244" i="9" s="1"/>
  <c r="AN245" i="9" s="1"/>
  <c r="AN246" i="9" s="1"/>
  <c r="AN247" i="9" s="1"/>
  <c r="AN248" i="9" s="1"/>
  <c r="AN249" i="9" s="1"/>
  <c r="AN250" i="9" s="1"/>
  <c r="AN251" i="9" s="1"/>
  <c r="AN252" i="9" s="1"/>
  <c r="AN253" i="9" s="1"/>
  <c r="AN254" i="9" s="1"/>
  <c r="AN255" i="9" s="1"/>
  <c r="AN256" i="9" s="1"/>
  <c r="AN257" i="9" s="1"/>
  <c r="AN258" i="9" s="1"/>
  <c r="AN259" i="9" s="1"/>
  <c r="AN260" i="9" s="1"/>
  <c r="AN261" i="9" s="1"/>
  <c r="AN262" i="9" s="1"/>
  <c r="AN263" i="9" s="1"/>
  <c r="AN264" i="9" s="1"/>
  <c r="AN265" i="9" s="1"/>
  <c r="AN266" i="9" s="1"/>
  <c r="AN267" i="9" s="1"/>
  <c r="AN268" i="9" s="1"/>
  <c r="AN269" i="9" s="1"/>
  <c r="AN270" i="9" s="1"/>
  <c r="AN271" i="9" s="1"/>
  <c r="AN272" i="9" s="1"/>
  <c r="AN273" i="9" s="1"/>
  <c r="AN274" i="9" s="1"/>
  <c r="AN275" i="9" s="1"/>
  <c r="AN276" i="9" s="1"/>
  <c r="AN277" i="9" s="1"/>
  <c r="AN278" i="9" s="1"/>
  <c r="AN279" i="9" s="1"/>
  <c r="AN280" i="9" s="1"/>
  <c r="AN281" i="9" s="1"/>
  <c r="AN282" i="9" s="1"/>
  <c r="AN283" i="9" s="1"/>
  <c r="AN284" i="9" s="1"/>
  <c r="AN285" i="9" s="1"/>
  <c r="AN286" i="9" s="1"/>
  <c r="AN287" i="9" s="1"/>
  <c r="AN288" i="9" s="1"/>
  <c r="AN289" i="9" s="1"/>
  <c r="AN290" i="9" s="1"/>
  <c r="AN291" i="9" s="1"/>
  <c r="AN292" i="9" s="1"/>
  <c r="AN293" i="9" s="1"/>
  <c r="AN294" i="9" s="1"/>
  <c r="AN295" i="9" s="1"/>
  <c r="AN296" i="9" s="1"/>
  <c r="AN297" i="9" s="1"/>
  <c r="AN298" i="9" s="1"/>
  <c r="AN299" i="9" s="1"/>
  <c r="AN300" i="9" s="1"/>
  <c r="AN301" i="9" s="1"/>
  <c r="AN302" i="9" s="1"/>
  <c r="AN303" i="9" s="1"/>
  <c r="AN304" i="9" s="1"/>
  <c r="AN305" i="9" s="1"/>
  <c r="AN306" i="9" s="1"/>
  <c r="AN307" i="9" s="1"/>
  <c r="AN308" i="9" s="1"/>
  <c r="AN309" i="9" s="1"/>
  <c r="AN310" i="9" s="1"/>
  <c r="AN311" i="9" s="1"/>
  <c r="AN312" i="9" s="1"/>
  <c r="AN313" i="9" s="1"/>
  <c r="AN314" i="9" s="1"/>
  <c r="AN315" i="9" s="1"/>
  <c r="AN316" i="9" s="1"/>
  <c r="AN317" i="9" s="1"/>
  <c r="AN318" i="9" s="1"/>
  <c r="AN319" i="9" s="1"/>
  <c r="AN320" i="9" s="1"/>
  <c r="AN321" i="9" s="1"/>
  <c r="AN322" i="9" s="1"/>
  <c r="AN323" i="9" s="1"/>
  <c r="AN324" i="9" s="1"/>
  <c r="AN325" i="9" s="1"/>
  <c r="AN326" i="9" s="1"/>
  <c r="AN327" i="9" s="1"/>
  <c r="AN328" i="9" s="1"/>
  <c r="AN329" i="9" s="1"/>
  <c r="AN330" i="9" s="1"/>
  <c r="AN331" i="9" s="1"/>
  <c r="AN332" i="9" s="1"/>
  <c r="AN333" i="9" s="1"/>
  <c r="AN334" i="9" s="1"/>
  <c r="AN335" i="9" s="1"/>
  <c r="AN336" i="9" s="1"/>
  <c r="AN337" i="9" s="1"/>
  <c r="AN338" i="9" s="1"/>
  <c r="AN339" i="9" s="1"/>
  <c r="AN340" i="9" s="1"/>
  <c r="AN341" i="9" s="1"/>
  <c r="AN342" i="9" s="1"/>
  <c r="AN343" i="9" s="1"/>
  <c r="AN344" i="9" s="1"/>
  <c r="AN345" i="9" s="1"/>
  <c r="AN346" i="9" s="1"/>
  <c r="AN347" i="9" s="1"/>
  <c r="AN348" i="9" s="1"/>
  <c r="AN349" i="9" s="1"/>
  <c r="AN350" i="9" s="1"/>
  <c r="AN351" i="9" s="1"/>
  <c r="AN352" i="9" s="1"/>
  <c r="AN353" i="9" s="1"/>
  <c r="AN354" i="9" s="1"/>
  <c r="AN355" i="9" s="1"/>
  <c r="AN356" i="9" s="1"/>
  <c r="AN357" i="9" s="1"/>
  <c r="AN358" i="9" s="1"/>
  <c r="AN359" i="9" s="1"/>
  <c r="AN360" i="9" s="1"/>
  <c r="AN361" i="9" s="1"/>
  <c r="AN362" i="9" s="1"/>
  <c r="AN363" i="9" s="1"/>
  <c r="AN364" i="9" s="1"/>
  <c r="AN365" i="9" s="1"/>
  <c r="AN366" i="9" s="1"/>
  <c r="AN367" i="9" s="1"/>
  <c r="AN368" i="9" s="1"/>
  <c r="AN369" i="9" s="1"/>
  <c r="AN370" i="9" s="1"/>
  <c r="AN371" i="9" s="1"/>
  <c r="AN372" i="9" s="1"/>
  <c r="AN373" i="9" s="1"/>
  <c r="AN374" i="9" s="1"/>
  <c r="AN375" i="9" s="1"/>
  <c r="AN376" i="9" s="1"/>
  <c r="AN377" i="9" s="1"/>
  <c r="AN378" i="9" s="1"/>
  <c r="AN379" i="9" s="1"/>
  <c r="AN380" i="9" s="1"/>
  <c r="AN381" i="9" s="1"/>
  <c r="AN382" i="9" s="1"/>
  <c r="AN383" i="9" s="1"/>
  <c r="AN384" i="9" s="1"/>
  <c r="AN385" i="9" s="1"/>
  <c r="AN386" i="9" s="1"/>
  <c r="AN387" i="9" s="1"/>
  <c r="AN388" i="9" s="1"/>
  <c r="AN389" i="9" s="1"/>
  <c r="AN390" i="9" s="1"/>
  <c r="AN391" i="9" s="1"/>
  <c r="AN392" i="9" s="1"/>
  <c r="AN393" i="9" s="1"/>
  <c r="AN394" i="9" s="1"/>
  <c r="AN395" i="9" s="1"/>
  <c r="AN396" i="9" s="1"/>
  <c r="AN397" i="9" s="1"/>
  <c r="AN398" i="9" s="1"/>
  <c r="AN399" i="9" s="1"/>
  <c r="AN400" i="9" s="1"/>
  <c r="AN401" i="9" s="1"/>
  <c r="AN402" i="9" s="1"/>
  <c r="AN403" i="9" s="1"/>
  <c r="AN404" i="9" s="1"/>
  <c r="AN405" i="9" s="1"/>
  <c r="AN406" i="9" s="1"/>
  <c r="AN407" i="9" s="1"/>
  <c r="AN408" i="9" s="1"/>
  <c r="AN409" i="9" s="1"/>
  <c r="AN410" i="9" s="1"/>
  <c r="AN411" i="9" s="1"/>
  <c r="AN412" i="9" s="1"/>
  <c r="AN413" i="9" s="1"/>
  <c r="AN414" i="9" s="1"/>
  <c r="AN415" i="9" s="1"/>
  <c r="AN416" i="9" s="1"/>
  <c r="AN417" i="9" s="1"/>
  <c r="AN418" i="9" s="1"/>
  <c r="AN419" i="9" s="1"/>
  <c r="AG53" i="9"/>
  <c r="AG54" i="9" s="1"/>
  <c r="AG55" i="9" s="1"/>
  <c r="AG56" i="9" s="1"/>
  <c r="AG57" i="9" s="1"/>
  <c r="AG58" i="9" s="1"/>
  <c r="AG59" i="9" s="1"/>
  <c r="AG60" i="9" s="1"/>
  <c r="AG61" i="9" s="1"/>
  <c r="AG62" i="9" s="1"/>
  <c r="AG63" i="9" s="1"/>
  <c r="AG64" i="9" s="1"/>
  <c r="AG65" i="9" s="1"/>
  <c r="AG66" i="9" s="1"/>
  <c r="AG67" i="9" s="1"/>
  <c r="AG68" i="9" s="1"/>
  <c r="AG69" i="9" s="1"/>
  <c r="AG70" i="9" s="1"/>
  <c r="AG71" i="9" s="1"/>
  <c r="AG72" i="9" s="1"/>
  <c r="AG73" i="9" s="1"/>
  <c r="AG74" i="9" s="1"/>
  <c r="AG75" i="9" s="1"/>
  <c r="AG76" i="9" s="1"/>
  <c r="AG77" i="9" s="1"/>
  <c r="AG78" i="9" s="1"/>
  <c r="AG79" i="9" s="1"/>
  <c r="AG80" i="9" s="1"/>
  <c r="AG81" i="9" s="1"/>
  <c r="AG82" i="9" s="1"/>
  <c r="AG83" i="9" s="1"/>
  <c r="AG84" i="9" s="1"/>
  <c r="AG85" i="9" s="1"/>
  <c r="AG86" i="9" s="1"/>
  <c r="AG87" i="9" s="1"/>
  <c r="AG88" i="9" s="1"/>
  <c r="AG89" i="9" s="1"/>
  <c r="AG90" i="9" s="1"/>
  <c r="AG91" i="9" s="1"/>
  <c r="AG92" i="9" s="1"/>
  <c r="AG93" i="9" s="1"/>
  <c r="AG94" i="9" s="1"/>
  <c r="AG95" i="9" s="1"/>
  <c r="AG96" i="9" s="1"/>
  <c r="AG97" i="9" s="1"/>
  <c r="AG98" i="9" s="1"/>
  <c r="AG99" i="9" s="1"/>
  <c r="AG100" i="9" s="1"/>
  <c r="AG101" i="9" s="1"/>
  <c r="AG102" i="9" s="1"/>
  <c r="AG103" i="9" s="1"/>
  <c r="AG104" i="9" s="1"/>
  <c r="AG105" i="9" s="1"/>
  <c r="AG106" i="9" s="1"/>
  <c r="AG107" i="9" s="1"/>
  <c r="AG108" i="9" s="1"/>
  <c r="AG109" i="9" s="1"/>
  <c r="AG110" i="9" s="1"/>
  <c r="AG111" i="9" s="1"/>
  <c r="AG112" i="9" s="1"/>
  <c r="AG113" i="9" s="1"/>
  <c r="AG114" i="9" s="1"/>
  <c r="AG115" i="9" s="1"/>
  <c r="AG116" i="9" s="1"/>
  <c r="AG117" i="9" s="1"/>
  <c r="AG118" i="9" s="1"/>
  <c r="AG119" i="9" s="1"/>
  <c r="AG120" i="9" s="1"/>
  <c r="AG121" i="9" s="1"/>
  <c r="AG122" i="9" s="1"/>
  <c r="AG123" i="9" s="1"/>
  <c r="AG124" i="9" s="1"/>
  <c r="AG125" i="9" s="1"/>
  <c r="AG126" i="9" s="1"/>
  <c r="AG127" i="9" s="1"/>
  <c r="AG128" i="9" s="1"/>
  <c r="AG129" i="9" s="1"/>
  <c r="AG130" i="9" s="1"/>
  <c r="AG131" i="9" s="1"/>
  <c r="AG132" i="9" s="1"/>
  <c r="AG133" i="9" s="1"/>
  <c r="AG134" i="9" s="1"/>
  <c r="AG135" i="9" s="1"/>
  <c r="AG136" i="9" s="1"/>
  <c r="AG137" i="9" s="1"/>
  <c r="AG138" i="9" s="1"/>
  <c r="AG139" i="9" s="1"/>
  <c r="AG140" i="9" s="1"/>
  <c r="AG141" i="9" s="1"/>
  <c r="AG142" i="9" s="1"/>
  <c r="AG143" i="9" s="1"/>
  <c r="AG144" i="9" s="1"/>
  <c r="AG145" i="9" s="1"/>
  <c r="AG146" i="9" s="1"/>
  <c r="AG147" i="9" s="1"/>
  <c r="AG148" i="9" s="1"/>
  <c r="AG149" i="9" s="1"/>
  <c r="AG150" i="9" s="1"/>
  <c r="AG151" i="9" s="1"/>
  <c r="AG152" i="9" s="1"/>
  <c r="AG153" i="9" s="1"/>
  <c r="AG154" i="9" s="1"/>
  <c r="AG155" i="9" s="1"/>
  <c r="AG156" i="9" s="1"/>
  <c r="AG157" i="9" s="1"/>
  <c r="AG158" i="9" s="1"/>
  <c r="AG159" i="9" s="1"/>
  <c r="AG160" i="9" s="1"/>
  <c r="AG161" i="9" s="1"/>
  <c r="AG162" i="9" s="1"/>
  <c r="AG163" i="9" s="1"/>
  <c r="AG164" i="9" s="1"/>
  <c r="AG165" i="9" s="1"/>
  <c r="AG166" i="9" s="1"/>
  <c r="AG167" i="9" s="1"/>
  <c r="AG168" i="9" s="1"/>
  <c r="AG169" i="9" s="1"/>
  <c r="AG170" i="9" s="1"/>
  <c r="AG171" i="9" s="1"/>
  <c r="AG172" i="9" s="1"/>
  <c r="AG173" i="9" s="1"/>
  <c r="AG174" i="9" s="1"/>
  <c r="AG175" i="9" s="1"/>
  <c r="AG176" i="9" s="1"/>
  <c r="AG177" i="9" s="1"/>
  <c r="AG178" i="9" s="1"/>
  <c r="AG179" i="9" s="1"/>
  <c r="AG180" i="9" s="1"/>
  <c r="AG181" i="9" s="1"/>
  <c r="AG182" i="9" s="1"/>
  <c r="AG183" i="9" s="1"/>
  <c r="AG184" i="9" s="1"/>
  <c r="AG185" i="9" s="1"/>
  <c r="AG186" i="9" s="1"/>
  <c r="AG187" i="9" s="1"/>
  <c r="AG188" i="9" s="1"/>
  <c r="AG189" i="9" s="1"/>
  <c r="AG190" i="9" s="1"/>
  <c r="AG191" i="9" s="1"/>
  <c r="AG192" i="9" s="1"/>
  <c r="AG193" i="9" s="1"/>
  <c r="AG194" i="9" s="1"/>
  <c r="AG195" i="9" s="1"/>
  <c r="AG196" i="9" s="1"/>
  <c r="AG197" i="9" s="1"/>
  <c r="AG198" i="9" s="1"/>
  <c r="AG199" i="9" s="1"/>
  <c r="AG200" i="9" s="1"/>
  <c r="AG201" i="9" s="1"/>
  <c r="AG202" i="9" s="1"/>
  <c r="AG203" i="9" s="1"/>
  <c r="AG204" i="9" s="1"/>
  <c r="AG205" i="9" s="1"/>
  <c r="AG206" i="9" s="1"/>
  <c r="AG207" i="9" s="1"/>
  <c r="AG208" i="9" s="1"/>
  <c r="AG209" i="9" s="1"/>
  <c r="AG210" i="9" s="1"/>
  <c r="AG211" i="9" s="1"/>
  <c r="AG212" i="9" s="1"/>
  <c r="AG213" i="9" s="1"/>
  <c r="AG214" i="9" s="1"/>
  <c r="AG215" i="9" s="1"/>
  <c r="AG216" i="9" s="1"/>
  <c r="AG217" i="9" s="1"/>
  <c r="AG218" i="9" s="1"/>
  <c r="AG219" i="9" s="1"/>
  <c r="AG220" i="9" s="1"/>
  <c r="AG221" i="9" s="1"/>
  <c r="AG222" i="9" s="1"/>
  <c r="AG223" i="9" s="1"/>
  <c r="AG224" i="9" s="1"/>
  <c r="AG225" i="9" s="1"/>
  <c r="AG226" i="9" s="1"/>
  <c r="AG227" i="9" s="1"/>
  <c r="AG228" i="9" s="1"/>
  <c r="AG229" i="9" s="1"/>
  <c r="AG230" i="9" s="1"/>
  <c r="AG231" i="9" s="1"/>
  <c r="AG232" i="9" s="1"/>
  <c r="AG233" i="9" s="1"/>
  <c r="AG234" i="9" s="1"/>
  <c r="AG235" i="9" s="1"/>
  <c r="AG236" i="9" s="1"/>
  <c r="AG237" i="9" s="1"/>
  <c r="AG238" i="9" s="1"/>
  <c r="AG239" i="9" s="1"/>
  <c r="AG240" i="9" s="1"/>
  <c r="AG241" i="9" s="1"/>
  <c r="AG242" i="9" s="1"/>
  <c r="AG243" i="9" s="1"/>
  <c r="AG244" i="9" s="1"/>
  <c r="AG245" i="9" s="1"/>
  <c r="AG246" i="9" s="1"/>
  <c r="AG247" i="9" s="1"/>
  <c r="AG248" i="9" s="1"/>
  <c r="AG249" i="9" s="1"/>
  <c r="AG250" i="9" s="1"/>
  <c r="AG251" i="9" s="1"/>
  <c r="AG252" i="9" s="1"/>
  <c r="AG253" i="9" s="1"/>
  <c r="AG254" i="9" s="1"/>
  <c r="AG255" i="9" s="1"/>
  <c r="AG256" i="9" s="1"/>
  <c r="AG257" i="9" s="1"/>
  <c r="AG258" i="9" s="1"/>
  <c r="AG259" i="9" s="1"/>
  <c r="AG260" i="9" s="1"/>
  <c r="AG261" i="9" s="1"/>
  <c r="AG262" i="9" s="1"/>
  <c r="AG263" i="9" s="1"/>
  <c r="AG264" i="9" s="1"/>
  <c r="AG265" i="9" s="1"/>
  <c r="AG266" i="9" s="1"/>
  <c r="AG267" i="9" s="1"/>
  <c r="AG268" i="9" s="1"/>
  <c r="AG269" i="9" s="1"/>
  <c r="AG270" i="9" s="1"/>
  <c r="AG271" i="9" s="1"/>
  <c r="AG272" i="9" s="1"/>
  <c r="AG273" i="9" s="1"/>
  <c r="AG274" i="9" s="1"/>
  <c r="AG275" i="9" s="1"/>
  <c r="AG276" i="9" s="1"/>
  <c r="AG277" i="9" s="1"/>
  <c r="AG278" i="9" s="1"/>
  <c r="AG279" i="9" s="1"/>
  <c r="AG280" i="9" s="1"/>
  <c r="AG281" i="9" s="1"/>
  <c r="AG282" i="9" s="1"/>
  <c r="AG283" i="9" s="1"/>
  <c r="AG284" i="9" s="1"/>
  <c r="AG285" i="9" s="1"/>
  <c r="AG286" i="9" s="1"/>
  <c r="AG287" i="9" s="1"/>
  <c r="AG288" i="9" s="1"/>
  <c r="AG289" i="9" s="1"/>
  <c r="AG290" i="9" s="1"/>
  <c r="AG291" i="9" s="1"/>
  <c r="AG292" i="9" s="1"/>
  <c r="AG293" i="9" s="1"/>
  <c r="AG294" i="9" s="1"/>
  <c r="AG295" i="9" s="1"/>
  <c r="AG296" i="9" s="1"/>
  <c r="AG297" i="9" s="1"/>
  <c r="AG298" i="9" s="1"/>
  <c r="AG299" i="9" s="1"/>
  <c r="AG300" i="9" s="1"/>
  <c r="AG301" i="9" s="1"/>
  <c r="AG302" i="9" s="1"/>
  <c r="AG303" i="9" s="1"/>
  <c r="AG304" i="9" s="1"/>
  <c r="AG305" i="9" s="1"/>
  <c r="AG306" i="9" s="1"/>
  <c r="AG307" i="9" s="1"/>
  <c r="AG308" i="9" s="1"/>
  <c r="AG309" i="9" s="1"/>
  <c r="AG310" i="9" s="1"/>
  <c r="AG311" i="9" s="1"/>
  <c r="AG312" i="9" s="1"/>
  <c r="AG313" i="9" s="1"/>
  <c r="AG314" i="9" s="1"/>
  <c r="AG315" i="9" s="1"/>
  <c r="AG316" i="9" s="1"/>
  <c r="AG317" i="9" s="1"/>
  <c r="AG318" i="9" s="1"/>
  <c r="AG319" i="9" s="1"/>
  <c r="AG320" i="9" s="1"/>
  <c r="AG321" i="9" s="1"/>
  <c r="AG322" i="9" s="1"/>
  <c r="AG323" i="9" s="1"/>
  <c r="AG324" i="9" s="1"/>
  <c r="AG325" i="9" s="1"/>
  <c r="AG326" i="9" s="1"/>
  <c r="AG327" i="9" s="1"/>
  <c r="AG328" i="9" s="1"/>
  <c r="AG329" i="9" s="1"/>
  <c r="AG330" i="9" s="1"/>
  <c r="AG331" i="9" s="1"/>
  <c r="AG332" i="9" s="1"/>
  <c r="AG333" i="9" s="1"/>
  <c r="AG334" i="9" s="1"/>
  <c r="AG335" i="9" s="1"/>
  <c r="AG336" i="9" s="1"/>
  <c r="AG337" i="9" s="1"/>
  <c r="AG338" i="9" s="1"/>
  <c r="AG339" i="9" s="1"/>
  <c r="AG340" i="9" s="1"/>
  <c r="AG341" i="9" s="1"/>
  <c r="AG342" i="9" s="1"/>
  <c r="AG343" i="9" s="1"/>
  <c r="AG344" i="9" s="1"/>
  <c r="AG345" i="9" s="1"/>
  <c r="AG346" i="9" s="1"/>
  <c r="AG347" i="9" s="1"/>
  <c r="AG348" i="9" s="1"/>
  <c r="AG349" i="9" s="1"/>
  <c r="AG350" i="9" s="1"/>
  <c r="AG351" i="9" s="1"/>
  <c r="AG352" i="9" s="1"/>
  <c r="AG353" i="9" s="1"/>
  <c r="AG354" i="9" s="1"/>
  <c r="AG355" i="9" s="1"/>
  <c r="AG356" i="9" s="1"/>
  <c r="AG357" i="9" s="1"/>
  <c r="AG358" i="9" s="1"/>
  <c r="AG359" i="9" s="1"/>
  <c r="AG360" i="9" s="1"/>
  <c r="AG361" i="9" s="1"/>
  <c r="AG362" i="9" s="1"/>
  <c r="AG363" i="9" s="1"/>
  <c r="AG364" i="9" s="1"/>
  <c r="AG365" i="9" s="1"/>
  <c r="AG366" i="9" s="1"/>
  <c r="AG367" i="9" s="1"/>
  <c r="AG368" i="9" s="1"/>
  <c r="AG369" i="9" s="1"/>
  <c r="AG370" i="9" s="1"/>
  <c r="AG371" i="9" s="1"/>
  <c r="AG372" i="9" s="1"/>
  <c r="AG373" i="9" s="1"/>
  <c r="AG374" i="9" s="1"/>
  <c r="AG375" i="9" s="1"/>
  <c r="AG376" i="9" s="1"/>
  <c r="AG377" i="9" s="1"/>
  <c r="AG378" i="9" s="1"/>
  <c r="AG379" i="9" s="1"/>
  <c r="AG380" i="9" s="1"/>
  <c r="AG381" i="9" s="1"/>
  <c r="AG382" i="9" s="1"/>
  <c r="AG383" i="9" s="1"/>
  <c r="AG384" i="9" s="1"/>
  <c r="AG385" i="9" s="1"/>
  <c r="AG386" i="9" s="1"/>
  <c r="AG387" i="9" s="1"/>
  <c r="AG388" i="9" s="1"/>
  <c r="AG389" i="9" s="1"/>
  <c r="AG390" i="9" s="1"/>
  <c r="AG391" i="9" s="1"/>
  <c r="AG392" i="9" s="1"/>
  <c r="AG393" i="9" s="1"/>
  <c r="AG394" i="9" s="1"/>
  <c r="AG395" i="9" s="1"/>
  <c r="AG396" i="9" s="1"/>
  <c r="AG397" i="9" s="1"/>
  <c r="AG398" i="9" s="1"/>
  <c r="AG399" i="9" s="1"/>
  <c r="AG400" i="9" s="1"/>
  <c r="AG401" i="9" s="1"/>
  <c r="AG402" i="9" s="1"/>
  <c r="AG403" i="9" s="1"/>
  <c r="AG404" i="9" s="1"/>
  <c r="AG405" i="9" s="1"/>
  <c r="AG406" i="9" s="1"/>
  <c r="AG407" i="9" s="1"/>
  <c r="AG408" i="9" s="1"/>
  <c r="AG409" i="9" s="1"/>
  <c r="AG410" i="9" s="1"/>
  <c r="AG411" i="9" s="1"/>
  <c r="AG412" i="9" s="1"/>
  <c r="AG413" i="9" s="1"/>
  <c r="AG414" i="9" s="1"/>
  <c r="AG415" i="9" s="1"/>
  <c r="AG416" i="9" s="1"/>
  <c r="AG417" i="9" s="1"/>
  <c r="AG418" i="9" s="1"/>
  <c r="AG419" i="9" s="1"/>
  <c r="AO53" i="9"/>
  <c r="AO54" i="9" s="1"/>
  <c r="AO55" i="9" s="1"/>
  <c r="AO56" i="9" s="1"/>
  <c r="AO57" i="9" s="1"/>
  <c r="AO58" i="9" s="1"/>
  <c r="AO59" i="9" s="1"/>
  <c r="AO60" i="9" s="1"/>
  <c r="AO61" i="9" s="1"/>
  <c r="AO62" i="9" s="1"/>
  <c r="AO63" i="9" s="1"/>
  <c r="AO64" i="9" s="1"/>
  <c r="AO65" i="9" s="1"/>
  <c r="AO66" i="9" s="1"/>
  <c r="AO67" i="9" s="1"/>
  <c r="AO68" i="9" s="1"/>
  <c r="AO69" i="9" s="1"/>
  <c r="AO70" i="9" s="1"/>
  <c r="AO71" i="9" s="1"/>
  <c r="AO72" i="9" s="1"/>
  <c r="AO73" i="9" s="1"/>
  <c r="AO74" i="9" s="1"/>
  <c r="AO75" i="9" s="1"/>
  <c r="AO76" i="9" s="1"/>
  <c r="AO77" i="9" s="1"/>
  <c r="AO78" i="9" s="1"/>
  <c r="AO79" i="9" s="1"/>
  <c r="AO80" i="9" s="1"/>
  <c r="AO81" i="9" s="1"/>
  <c r="AO82" i="9" s="1"/>
  <c r="AO83" i="9" s="1"/>
  <c r="AO84" i="9" s="1"/>
  <c r="AO85" i="9" s="1"/>
  <c r="AO86" i="9" s="1"/>
  <c r="AO87" i="9" s="1"/>
  <c r="AO88" i="9" s="1"/>
  <c r="AO89" i="9" s="1"/>
  <c r="AO90" i="9" s="1"/>
  <c r="AO91" i="9" s="1"/>
  <c r="AO92" i="9" s="1"/>
  <c r="AO93" i="9" s="1"/>
  <c r="AO94" i="9" s="1"/>
  <c r="AO95" i="9" s="1"/>
  <c r="AO96" i="9" s="1"/>
  <c r="AO97" i="9" s="1"/>
  <c r="AO98" i="9" s="1"/>
  <c r="AO99" i="9" s="1"/>
  <c r="AO100" i="9" s="1"/>
  <c r="AO101" i="9" s="1"/>
  <c r="AO102" i="9" s="1"/>
  <c r="AO103" i="9" s="1"/>
  <c r="AO104" i="9" s="1"/>
  <c r="AO105" i="9" s="1"/>
  <c r="AO106" i="9" s="1"/>
  <c r="AO107" i="9" s="1"/>
  <c r="AO108" i="9" s="1"/>
  <c r="AO109" i="9" s="1"/>
  <c r="AO110" i="9" s="1"/>
  <c r="AO111" i="9" s="1"/>
  <c r="AO112" i="9" s="1"/>
  <c r="AO113" i="9" s="1"/>
  <c r="AO114" i="9" s="1"/>
  <c r="AO115" i="9" s="1"/>
  <c r="AO116" i="9" s="1"/>
  <c r="AO117" i="9" s="1"/>
  <c r="AO118" i="9" s="1"/>
  <c r="AO119" i="9" s="1"/>
  <c r="AO120" i="9" s="1"/>
  <c r="AO121" i="9" s="1"/>
  <c r="AO122" i="9" s="1"/>
  <c r="AO123" i="9" s="1"/>
  <c r="AO124" i="9" s="1"/>
  <c r="AO125" i="9" s="1"/>
  <c r="AO126" i="9" s="1"/>
  <c r="AO127" i="9" s="1"/>
  <c r="AO128" i="9" s="1"/>
  <c r="AO129" i="9" s="1"/>
  <c r="AO130" i="9" s="1"/>
  <c r="AO131" i="9" s="1"/>
  <c r="AO132" i="9" s="1"/>
  <c r="AO133" i="9" s="1"/>
  <c r="AO134" i="9" s="1"/>
  <c r="AO135" i="9" s="1"/>
  <c r="AO136" i="9" s="1"/>
  <c r="AO137" i="9" s="1"/>
  <c r="AO138" i="9" s="1"/>
  <c r="AO139" i="9" s="1"/>
  <c r="AO140" i="9" s="1"/>
  <c r="AO141" i="9" s="1"/>
  <c r="AO142" i="9" s="1"/>
  <c r="AO143" i="9" s="1"/>
  <c r="AO144" i="9" s="1"/>
  <c r="AO145" i="9" s="1"/>
  <c r="AO146" i="9" s="1"/>
  <c r="AO147" i="9" s="1"/>
  <c r="AO148" i="9" s="1"/>
  <c r="AO149" i="9" s="1"/>
  <c r="AO150" i="9" s="1"/>
  <c r="AO151" i="9" s="1"/>
  <c r="AO152" i="9" s="1"/>
  <c r="AO153" i="9" s="1"/>
  <c r="AO154" i="9" s="1"/>
  <c r="AO155" i="9" s="1"/>
  <c r="AO156" i="9" s="1"/>
  <c r="AO157" i="9" s="1"/>
  <c r="AO158" i="9" s="1"/>
  <c r="AO159" i="9" s="1"/>
  <c r="AO160" i="9" s="1"/>
  <c r="AO161" i="9" s="1"/>
  <c r="AO162" i="9" s="1"/>
  <c r="AO163" i="9" s="1"/>
  <c r="AO164" i="9" s="1"/>
  <c r="AO165" i="9" s="1"/>
  <c r="AO166" i="9" s="1"/>
  <c r="AO167" i="9" s="1"/>
  <c r="AO168" i="9" s="1"/>
  <c r="AO169" i="9" s="1"/>
  <c r="AO170" i="9" s="1"/>
  <c r="AO171" i="9" s="1"/>
  <c r="AO172" i="9" s="1"/>
  <c r="AO173" i="9" s="1"/>
  <c r="AO174" i="9" s="1"/>
  <c r="AO175" i="9" s="1"/>
  <c r="AO176" i="9" s="1"/>
  <c r="AO177" i="9" s="1"/>
  <c r="AO178" i="9" s="1"/>
  <c r="AO179" i="9" s="1"/>
  <c r="AO180" i="9" s="1"/>
  <c r="AO181" i="9" s="1"/>
  <c r="AO182" i="9" s="1"/>
  <c r="AO183" i="9" s="1"/>
  <c r="AO184" i="9" s="1"/>
  <c r="AO185" i="9" s="1"/>
  <c r="AO186" i="9" s="1"/>
  <c r="AO187" i="9" s="1"/>
  <c r="AO188" i="9" s="1"/>
  <c r="AO189" i="9" s="1"/>
  <c r="AO190" i="9" s="1"/>
  <c r="AO191" i="9" s="1"/>
  <c r="AO192" i="9" s="1"/>
  <c r="AO193" i="9" s="1"/>
  <c r="AO194" i="9" s="1"/>
  <c r="AO195" i="9" s="1"/>
  <c r="AO196" i="9" s="1"/>
  <c r="AO197" i="9" s="1"/>
  <c r="AO198" i="9" s="1"/>
  <c r="AO199" i="9" s="1"/>
  <c r="AO200" i="9" s="1"/>
  <c r="AO201" i="9" s="1"/>
  <c r="AO202" i="9" s="1"/>
  <c r="AO203" i="9" s="1"/>
  <c r="AO204" i="9" s="1"/>
  <c r="AO205" i="9" s="1"/>
  <c r="AO206" i="9" s="1"/>
  <c r="AO207" i="9" s="1"/>
  <c r="AO208" i="9" s="1"/>
  <c r="AO209" i="9" s="1"/>
  <c r="AO210" i="9" s="1"/>
  <c r="AO211" i="9" s="1"/>
  <c r="AO212" i="9" s="1"/>
  <c r="AO213" i="9" s="1"/>
  <c r="AO214" i="9" s="1"/>
  <c r="AO215" i="9" s="1"/>
  <c r="AO216" i="9" s="1"/>
  <c r="AO217" i="9" s="1"/>
  <c r="AO218" i="9" s="1"/>
  <c r="AO219" i="9" s="1"/>
  <c r="AO220" i="9" s="1"/>
  <c r="AO221" i="9" s="1"/>
  <c r="AO222" i="9" s="1"/>
  <c r="AO223" i="9" s="1"/>
  <c r="AO224" i="9" s="1"/>
  <c r="AO225" i="9" s="1"/>
  <c r="AO226" i="9" s="1"/>
  <c r="AO227" i="9" s="1"/>
  <c r="AO228" i="9" s="1"/>
  <c r="AO229" i="9" s="1"/>
  <c r="AO230" i="9" s="1"/>
  <c r="AO231" i="9" s="1"/>
  <c r="AO232" i="9" s="1"/>
  <c r="AO233" i="9" s="1"/>
  <c r="AO234" i="9" s="1"/>
  <c r="AO235" i="9" s="1"/>
  <c r="AO236" i="9" s="1"/>
  <c r="AO237" i="9" s="1"/>
  <c r="AO238" i="9" s="1"/>
  <c r="AO239" i="9" s="1"/>
  <c r="AO240" i="9" s="1"/>
  <c r="AO241" i="9" s="1"/>
  <c r="AO242" i="9" s="1"/>
  <c r="AO243" i="9" s="1"/>
  <c r="AO244" i="9" s="1"/>
  <c r="AO245" i="9" s="1"/>
  <c r="AO246" i="9" s="1"/>
  <c r="AO247" i="9" s="1"/>
  <c r="AO248" i="9" s="1"/>
  <c r="AO249" i="9" s="1"/>
  <c r="AO250" i="9" s="1"/>
  <c r="AO251" i="9" s="1"/>
  <c r="AO252" i="9" s="1"/>
  <c r="AO253" i="9" s="1"/>
  <c r="AO254" i="9" s="1"/>
  <c r="AO255" i="9" s="1"/>
  <c r="AO256" i="9" s="1"/>
  <c r="AO257" i="9" s="1"/>
  <c r="AO258" i="9" s="1"/>
  <c r="AO259" i="9" s="1"/>
  <c r="AO260" i="9" s="1"/>
  <c r="AO261" i="9" s="1"/>
  <c r="AO262" i="9" s="1"/>
  <c r="AO263" i="9" s="1"/>
  <c r="AO264" i="9" s="1"/>
  <c r="AO265" i="9" s="1"/>
  <c r="AO266" i="9" s="1"/>
  <c r="AO267" i="9" s="1"/>
  <c r="AO268" i="9" s="1"/>
  <c r="AO269" i="9" s="1"/>
  <c r="AO270" i="9" s="1"/>
  <c r="AO271" i="9" s="1"/>
  <c r="AO272" i="9" s="1"/>
  <c r="AO273" i="9" s="1"/>
  <c r="AO274" i="9" s="1"/>
  <c r="AO275" i="9" s="1"/>
  <c r="AO276" i="9" s="1"/>
  <c r="AO277" i="9" s="1"/>
  <c r="AO278" i="9" s="1"/>
  <c r="AO279" i="9" s="1"/>
  <c r="AO280" i="9" s="1"/>
  <c r="AO281" i="9" s="1"/>
  <c r="AO282" i="9" s="1"/>
  <c r="AO283" i="9" s="1"/>
  <c r="AO284" i="9" s="1"/>
  <c r="AO285" i="9" s="1"/>
  <c r="AO286" i="9" s="1"/>
  <c r="AO287" i="9" s="1"/>
  <c r="AO288" i="9" s="1"/>
  <c r="AO289" i="9" s="1"/>
  <c r="AO290" i="9" s="1"/>
  <c r="AO291" i="9" s="1"/>
  <c r="AO292" i="9" s="1"/>
  <c r="AO293" i="9" s="1"/>
  <c r="AO294" i="9" s="1"/>
  <c r="AO295" i="9" s="1"/>
  <c r="AO296" i="9" s="1"/>
  <c r="AO297" i="9" s="1"/>
  <c r="AO298" i="9" s="1"/>
  <c r="AO299" i="9" s="1"/>
  <c r="AO300" i="9" s="1"/>
  <c r="AO301" i="9" s="1"/>
  <c r="AO302" i="9" s="1"/>
  <c r="AO303" i="9" s="1"/>
  <c r="AO304" i="9" s="1"/>
  <c r="AO305" i="9" s="1"/>
  <c r="AO306" i="9" s="1"/>
  <c r="AO307" i="9" s="1"/>
  <c r="AO308" i="9" s="1"/>
  <c r="AO309" i="9" s="1"/>
  <c r="AO310" i="9" s="1"/>
  <c r="AO311" i="9" s="1"/>
  <c r="AO312" i="9" s="1"/>
  <c r="AO313" i="9" s="1"/>
  <c r="AO314" i="9" s="1"/>
  <c r="AO315" i="9" s="1"/>
  <c r="AO316" i="9" s="1"/>
  <c r="AO317" i="9" s="1"/>
  <c r="AO318" i="9" s="1"/>
  <c r="AO319" i="9" s="1"/>
  <c r="AO320" i="9" s="1"/>
  <c r="AO321" i="9" s="1"/>
  <c r="AO322" i="9" s="1"/>
  <c r="AO323" i="9" s="1"/>
  <c r="AO324" i="9" s="1"/>
  <c r="AO325" i="9" s="1"/>
  <c r="AO326" i="9" s="1"/>
  <c r="AO327" i="9" s="1"/>
  <c r="AO328" i="9" s="1"/>
  <c r="AO329" i="9" s="1"/>
  <c r="AO330" i="9" s="1"/>
  <c r="AO331" i="9" s="1"/>
  <c r="AO332" i="9" s="1"/>
  <c r="AO333" i="9" s="1"/>
  <c r="AO334" i="9" s="1"/>
  <c r="AO335" i="9" s="1"/>
  <c r="AO336" i="9" s="1"/>
  <c r="AO337" i="9" s="1"/>
  <c r="AO338" i="9" s="1"/>
  <c r="AO339" i="9" s="1"/>
  <c r="AO340" i="9" s="1"/>
  <c r="AO341" i="9" s="1"/>
  <c r="AO342" i="9" s="1"/>
  <c r="AO343" i="9" s="1"/>
  <c r="AO344" i="9" s="1"/>
  <c r="AO345" i="9" s="1"/>
  <c r="AO346" i="9" s="1"/>
  <c r="AO347" i="9" s="1"/>
  <c r="AO348" i="9" s="1"/>
  <c r="AO349" i="9" s="1"/>
  <c r="AO350" i="9" s="1"/>
  <c r="AO351" i="9" s="1"/>
  <c r="AO352" i="9" s="1"/>
  <c r="AO353" i="9" s="1"/>
  <c r="AO354" i="9" s="1"/>
  <c r="AO355" i="9" s="1"/>
  <c r="AO356" i="9" s="1"/>
  <c r="AO357" i="9" s="1"/>
  <c r="AO358" i="9" s="1"/>
  <c r="AO359" i="9" s="1"/>
  <c r="AO360" i="9" s="1"/>
  <c r="AO361" i="9" s="1"/>
  <c r="AO362" i="9" s="1"/>
  <c r="AO363" i="9" s="1"/>
  <c r="AO364" i="9" s="1"/>
  <c r="AO365" i="9" s="1"/>
  <c r="AO366" i="9" s="1"/>
  <c r="AO367" i="9" s="1"/>
  <c r="AO368" i="9" s="1"/>
  <c r="AO369" i="9" s="1"/>
  <c r="AO370" i="9" s="1"/>
  <c r="AO371" i="9" s="1"/>
  <c r="AO372" i="9" s="1"/>
  <c r="AO373" i="9" s="1"/>
  <c r="AO374" i="9" s="1"/>
  <c r="AO375" i="9" s="1"/>
  <c r="AO376" i="9" s="1"/>
  <c r="AO377" i="9" s="1"/>
  <c r="AO378" i="9" s="1"/>
  <c r="AO379" i="9" s="1"/>
  <c r="AO380" i="9" s="1"/>
  <c r="AO381" i="9" s="1"/>
  <c r="AO382" i="9" s="1"/>
  <c r="AO383" i="9" s="1"/>
  <c r="AO384" i="9" s="1"/>
  <c r="AO385" i="9" s="1"/>
  <c r="AO386" i="9" s="1"/>
  <c r="AO387" i="9" s="1"/>
  <c r="AO388" i="9" s="1"/>
  <c r="AO389" i="9" s="1"/>
  <c r="AO390" i="9" s="1"/>
  <c r="AO391" i="9" s="1"/>
  <c r="AO392" i="9" s="1"/>
  <c r="AO393" i="9" s="1"/>
  <c r="AO394" i="9" s="1"/>
  <c r="AO395" i="9" s="1"/>
  <c r="AO396" i="9" s="1"/>
  <c r="AO397" i="9" s="1"/>
  <c r="AO398" i="9" s="1"/>
  <c r="AO399" i="9" s="1"/>
  <c r="AO400" i="9" s="1"/>
  <c r="AO401" i="9" s="1"/>
  <c r="AO402" i="9" s="1"/>
  <c r="AO403" i="9" s="1"/>
  <c r="AO404" i="9" s="1"/>
  <c r="AO405" i="9" s="1"/>
  <c r="AO406" i="9" s="1"/>
  <c r="AO407" i="9" s="1"/>
  <c r="AO408" i="9" s="1"/>
  <c r="AO409" i="9" s="1"/>
  <c r="AO410" i="9" s="1"/>
  <c r="AO411" i="9" s="1"/>
  <c r="AO412" i="9" s="1"/>
  <c r="AO413" i="9" s="1"/>
  <c r="AO414" i="9" s="1"/>
  <c r="AO415" i="9" s="1"/>
  <c r="AO416" i="9" s="1"/>
  <c r="AO417" i="9" s="1"/>
  <c r="AO418" i="9" s="1"/>
  <c r="AO419" i="9" s="1"/>
  <c r="AM53" i="9"/>
  <c r="AM54" i="9" s="1"/>
  <c r="AM55" i="9" s="1"/>
  <c r="AM56" i="9" s="1"/>
  <c r="AM57" i="9" s="1"/>
  <c r="AM58" i="9" s="1"/>
  <c r="AM59" i="9" s="1"/>
  <c r="AM60" i="9" s="1"/>
  <c r="AM61" i="9" s="1"/>
  <c r="AM62" i="9" s="1"/>
  <c r="AM63" i="9" s="1"/>
  <c r="AM64" i="9" s="1"/>
  <c r="AM65" i="9" s="1"/>
  <c r="AM66" i="9" s="1"/>
  <c r="AM67" i="9" s="1"/>
  <c r="AM68" i="9" s="1"/>
  <c r="AM69" i="9" s="1"/>
  <c r="AM70" i="9" s="1"/>
  <c r="AM71" i="9" s="1"/>
  <c r="AM72" i="9" s="1"/>
  <c r="AM73" i="9" s="1"/>
  <c r="AM74" i="9" s="1"/>
  <c r="AM75" i="9" s="1"/>
  <c r="AM76" i="9" s="1"/>
  <c r="AM77" i="9" s="1"/>
  <c r="AM78" i="9" s="1"/>
  <c r="AM79" i="9" s="1"/>
  <c r="AM80" i="9" s="1"/>
  <c r="AM81" i="9" s="1"/>
  <c r="AM82" i="9" s="1"/>
  <c r="AM83" i="9" s="1"/>
  <c r="AM84" i="9" s="1"/>
  <c r="AM85" i="9" s="1"/>
  <c r="AM86" i="9" s="1"/>
  <c r="AM87" i="9" s="1"/>
  <c r="AM88" i="9" s="1"/>
  <c r="AM89" i="9" s="1"/>
  <c r="AM90" i="9" s="1"/>
  <c r="AM91" i="9" s="1"/>
  <c r="AM92" i="9" s="1"/>
  <c r="AM93" i="9" s="1"/>
  <c r="AM94" i="9" s="1"/>
  <c r="AM95" i="9" s="1"/>
  <c r="AM96" i="9" s="1"/>
  <c r="AM97" i="9" s="1"/>
  <c r="AM98" i="9" s="1"/>
  <c r="AM99" i="9" s="1"/>
  <c r="AM100" i="9" s="1"/>
  <c r="AM101" i="9" s="1"/>
  <c r="AM102" i="9" s="1"/>
  <c r="AM103" i="9" s="1"/>
  <c r="AM104" i="9" s="1"/>
  <c r="AM105" i="9" s="1"/>
  <c r="AM106" i="9" s="1"/>
  <c r="AM107" i="9" s="1"/>
  <c r="AM108" i="9" s="1"/>
  <c r="AM109" i="9" s="1"/>
  <c r="AM110" i="9" s="1"/>
  <c r="AM111" i="9" s="1"/>
  <c r="AM112" i="9" s="1"/>
  <c r="AM113" i="9" s="1"/>
  <c r="AM114" i="9" s="1"/>
  <c r="AM115" i="9" s="1"/>
  <c r="AM116" i="9" s="1"/>
  <c r="AM117" i="9" s="1"/>
  <c r="AM118" i="9" s="1"/>
  <c r="AM119" i="9" s="1"/>
  <c r="AM120" i="9" s="1"/>
  <c r="AM121" i="9" s="1"/>
  <c r="AM122" i="9" s="1"/>
  <c r="AM123" i="9" s="1"/>
  <c r="AM124" i="9" s="1"/>
  <c r="AM125" i="9" s="1"/>
  <c r="AM126" i="9" s="1"/>
  <c r="AM127" i="9" s="1"/>
  <c r="AM128" i="9" s="1"/>
  <c r="AM129" i="9" s="1"/>
  <c r="AM130" i="9" s="1"/>
  <c r="AM131" i="9" s="1"/>
  <c r="AM132" i="9" s="1"/>
  <c r="AM133" i="9" s="1"/>
  <c r="AM134" i="9" s="1"/>
  <c r="AM135" i="9" s="1"/>
  <c r="AM136" i="9" s="1"/>
  <c r="AM137" i="9" s="1"/>
  <c r="AM138" i="9" s="1"/>
  <c r="AM139" i="9" s="1"/>
  <c r="AM140" i="9" s="1"/>
  <c r="AM141" i="9" s="1"/>
  <c r="AM142" i="9" s="1"/>
  <c r="AM143" i="9" s="1"/>
  <c r="AM144" i="9" s="1"/>
  <c r="AM145" i="9" s="1"/>
  <c r="AM146" i="9" s="1"/>
  <c r="AM147" i="9" s="1"/>
  <c r="AM148" i="9" s="1"/>
  <c r="AM149" i="9" s="1"/>
  <c r="AM150" i="9" s="1"/>
  <c r="AM151" i="9" s="1"/>
  <c r="AM152" i="9" s="1"/>
  <c r="AM153" i="9" s="1"/>
  <c r="AM154" i="9" s="1"/>
  <c r="AM155" i="9" s="1"/>
  <c r="AM156" i="9" s="1"/>
  <c r="AM157" i="9" s="1"/>
  <c r="AM158" i="9" s="1"/>
  <c r="AM159" i="9" s="1"/>
  <c r="AM160" i="9" s="1"/>
  <c r="AM161" i="9" s="1"/>
  <c r="AM162" i="9" s="1"/>
  <c r="AM163" i="9" s="1"/>
  <c r="AM164" i="9" s="1"/>
  <c r="AM165" i="9" s="1"/>
  <c r="AM166" i="9" s="1"/>
  <c r="AM167" i="9" s="1"/>
  <c r="AM168" i="9" s="1"/>
  <c r="AM169" i="9" s="1"/>
  <c r="AM170" i="9" s="1"/>
  <c r="AM171" i="9" s="1"/>
  <c r="AM172" i="9" s="1"/>
  <c r="AM173" i="9" s="1"/>
  <c r="AM174" i="9" s="1"/>
  <c r="AM175" i="9" s="1"/>
  <c r="AM176" i="9" s="1"/>
  <c r="AM177" i="9" s="1"/>
  <c r="AM178" i="9" s="1"/>
  <c r="AM179" i="9" s="1"/>
  <c r="AM180" i="9" s="1"/>
  <c r="AM181" i="9" s="1"/>
  <c r="AM182" i="9" s="1"/>
  <c r="AM183" i="9" s="1"/>
  <c r="AM184" i="9" s="1"/>
  <c r="AM185" i="9" s="1"/>
  <c r="AM186" i="9" s="1"/>
  <c r="AM187" i="9" s="1"/>
  <c r="AM188" i="9" s="1"/>
  <c r="AM189" i="9" s="1"/>
  <c r="AM190" i="9" s="1"/>
  <c r="AM191" i="9" s="1"/>
  <c r="AM192" i="9" s="1"/>
  <c r="AM193" i="9" s="1"/>
  <c r="AM194" i="9" s="1"/>
  <c r="AM195" i="9" s="1"/>
  <c r="AM196" i="9" s="1"/>
  <c r="AM197" i="9" s="1"/>
  <c r="AM198" i="9" s="1"/>
  <c r="AM199" i="9" s="1"/>
  <c r="AM200" i="9" s="1"/>
  <c r="AM201" i="9" s="1"/>
  <c r="AM202" i="9" s="1"/>
  <c r="AM203" i="9" s="1"/>
  <c r="AM204" i="9" s="1"/>
  <c r="AM205" i="9" s="1"/>
  <c r="AM206" i="9" s="1"/>
  <c r="AM207" i="9" s="1"/>
  <c r="AM208" i="9" s="1"/>
  <c r="AM209" i="9" s="1"/>
  <c r="AM210" i="9" s="1"/>
  <c r="AM211" i="9" s="1"/>
  <c r="AM212" i="9" s="1"/>
  <c r="AM213" i="9" s="1"/>
  <c r="AM214" i="9" s="1"/>
  <c r="AM215" i="9" s="1"/>
  <c r="AM216" i="9" s="1"/>
  <c r="AM217" i="9" s="1"/>
  <c r="AM218" i="9" s="1"/>
  <c r="AM219" i="9" s="1"/>
  <c r="AM220" i="9" s="1"/>
  <c r="AM221" i="9" s="1"/>
  <c r="AM222" i="9" s="1"/>
  <c r="AM223" i="9" s="1"/>
  <c r="AM224" i="9" s="1"/>
  <c r="AM225" i="9" s="1"/>
  <c r="AM226" i="9" s="1"/>
  <c r="AM227" i="9" s="1"/>
  <c r="AM228" i="9" s="1"/>
  <c r="AM229" i="9" s="1"/>
  <c r="AM230" i="9" s="1"/>
  <c r="AM231" i="9" s="1"/>
  <c r="AM232" i="9" s="1"/>
  <c r="AM233" i="9" s="1"/>
  <c r="AM234" i="9" s="1"/>
  <c r="AM235" i="9" s="1"/>
  <c r="AM236" i="9" s="1"/>
  <c r="AM237" i="9" s="1"/>
  <c r="AM238" i="9" s="1"/>
  <c r="AM239" i="9" s="1"/>
  <c r="AM240" i="9" s="1"/>
  <c r="AM241" i="9" s="1"/>
  <c r="AM242" i="9" s="1"/>
  <c r="AM243" i="9" s="1"/>
  <c r="AM244" i="9" s="1"/>
  <c r="AM245" i="9" s="1"/>
  <c r="AM246" i="9" s="1"/>
  <c r="AM247" i="9" s="1"/>
  <c r="AM248" i="9" s="1"/>
  <c r="AM249" i="9" s="1"/>
  <c r="AM250" i="9" s="1"/>
  <c r="AM251" i="9" s="1"/>
  <c r="AM252" i="9" s="1"/>
  <c r="AM253" i="9" s="1"/>
  <c r="AM254" i="9" s="1"/>
  <c r="AM255" i="9" s="1"/>
  <c r="AM256" i="9" s="1"/>
  <c r="AM257" i="9" s="1"/>
  <c r="AM258" i="9" s="1"/>
  <c r="AM259" i="9" s="1"/>
  <c r="AM260" i="9" s="1"/>
  <c r="AM261" i="9" s="1"/>
  <c r="AM262" i="9" s="1"/>
  <c r="AM263" i="9" s="1"/>
  <c r="AM264" i="9" s="1"/>
  <c r="AM265" i="9" s="1"/>
  <c r="AM266" i="9" s="1"/>
  <c r="AM267" i="9" s="1"/>
  <c r="AM268" i="9" s="1"/>
  <c r="AM269" i="9" s="1"/>
  <c r="AM270" i="9" s="1"/>
  <c r="AM271" i="9" s="1"/>
  <c r="AM272" i="9" s="1"/>
  <c r="AM273" i="9" s="1"/>
  <c r="AM274" i="9" s="1"/>
  <c r="AM275" i="9" s="1"/>
  <c r="AM276" i="9" s="1"/>
  <c r="AM277" i="9" s="1"/>
  <c r="AM278" i="9" s="1"/>
  <c r="AM279" i="9" s="1"/>
  <c r="AM280" i="9" s="1"/>
  <c r="AM281" i="9" s="1"/>
  <c r="AM282" i="9" s="1"/>
  <c r="AM283" i="9" s="1"/>
  <c r="AM284" i="9" s="1"/>
  <c r="AM285" i="9" s="1"/>
  <c r="AM286" i="9" s="1"/>
  <c r="AM287" i="9" s="1"/>
  <c r="AM288" i="9" s="1"/>
  <c r="AM289" i="9" s="1"/>
  <c r="AM290" i="9" s="1"/>
  <c r="AM291" i="9" s="1"/>
  <c r="AM292" i="9" s="1"/>
  <c r="AM293" i="9" s="1"/>
  <c r="AM294" i="9" s="1"/>
  <c r="AM295" i="9" s="1"/>
  <c r="AM296" i="9" s="1"/>
  <c r="AM297" i="9" s="1"/>
  <c r="AM298" i="9" s="1"/>
  <c r="AM299" i="9" s="1"/>
  <c r="AM300" i="9" s="1"/>
  <c r="AM301" i="9" s="1"/>
  <c r="AM302" i="9" s="1"/>
  <c r="AM303" i="9" s="1"/>
  <c r="AM304" i="9" s="1"/>
  <c r="AM305" i="9" s="1"/>
  <c r="AM306" i="9" s="1"/>
  <c r="AM307" i="9" s="1"/>
  <c r="AM308" i="9" s="1"/>
  <c r="AM309" i="9" s="1"/>
  <c r="AM310" i="9" s="1"/>
  <c r="AM311" i="9" s="1"/>
  <c r="AM312" i="9" s="1"/>
  <c r="AM313" i="9" s="1"/>
  <c r="AM314" i="9" s="1"/>
  <c r="AM315" i="9" s="1"/>
  <c r="AM316" i="9" s="1"/>
  <c r="AM317" i="9" s="1"/>
  <c r="AM318" i="9" s="1"/>
  <c r="AM319" i="9" s="1"/>
  <c r="AM320" i="9" s="1"/>
  <c r="AM321" i="9" s="1"/>
  <c r="AM322" i="9" s="1"/>
  <c r="AM323" i="9" s="1"/>
  <c r="AM324" i="9" s="1"/>
  <c r="AM325" i="9" s="1"/>
  <c r="AM326" i="9" s="1"/>
  <c r="AM327" i="9" s="1"/>
  <c r="AM328" i="9" s="1"/>
  <c r="AM329" i="9" s="1"/>
  <c r="AM330" i="9" s="1"/>
  <c r="AM331" i="9" s="1"/>
  <c r="AM332" i="9" s="1"/>
  <c r="AM333" i="9" s="1"/>
  <c r="AM334" i="9" s="1"/>
  <c r="AM335" i="9" s="1"/>
  <c r="AM336" i="9" s="1"/>
  <c r="AM337" i="9" s="1"/>
  <c r="AM338" i="9" s="1"/>
  <c r="AM339" i="9" s="1"/>
  <c r="AM340" i="9" s="1"/>
  <c r="AM341" i="9" s="1"/>
  <c r="AM342" i="9" s="1"/>
  <c r="AM343" i="9" s="1"/>
  <c r="AM344" i="9" s="1"/>
  <c r="AM345" i="9" s="1"/>
  <c r="AM346" i="9" s="1"/>
  <c r="AM347" i="9" s="1"/>
  <c r="AM348" i="9" s="1"/>
  <c r="AM349" i="9" s="1"/>
  <c r="AM350" i="9" s="1"/>
  <c r="AM351" i="9" s="1"/>
  <c r="AM352" i="9" s="1"/>
  <c r="AM353" i="9" s="1"/>
  <c r="AM354" i="9" s="1"/>
  <c r="AM355" i="9" s="1"/>
  <c r="AM356" i="9" s="1"/>
  <c r="AM357" i="9" s="1"/>
  <c r="AM358" i="9" s="1"/>
  <c r="AM359" i="9" s="1"/>
  <c r="AM360" i="9" s="1"/>
  <c r="AM361" i="9" s="1"/>
  <c r="AM362" i="9" s="1"/>
  <c r="AM363" i="9" s="1"/>
  <c r="AM364" i="9" s="1"/>
  <c r="AM365" i="9" s="1"/>
  <c r="AM366" i="9" s="1"/>
  <c r="AM367" i="9" s="1"/>
  <c r="AM368" i="9" s="1"/>
  <c r="AM369" i="9" s="1"/>
  <c r="AM370" i="9" s="1"/>
  <c r="AM371" i="9" s="1"/>
  <c r="AM372" i="9" s="1"/>
  <c r="AM373" i="9" s="1"/>
  <c r="AM374" i="9" s="1"/>
  <c r="AM375" i="9" s="1"/>
  <c r="AM376" i="9" s="1"/>
  <c r="AM377" i="9" s="1"/>
  <c r="AM378" i="9" s="1"/>
  <c r="AM379" i="9" s="1"/>
  <c r="AM380" i="9" s="1"/>
  <c r="AM381" i="9" s="1"/>
  <c r="AM382" i="9" s="1"/>
  <c r="AM383" i="9" s="1"/>
  <c r="AM384" i="9" s="1"/>
  <c r="AM385" i="9" s="1"/>
  <c r="AM386" i="9" s="1"/>
  <c r="AM387" i="9" s="1"/>
  <c r="AM388" i="9" s="1"/>
  <c r="AM389" i="9" s="1"/>
  <c r="AM390" i="9" s="1"/>
  <c r="AM391" i="9" s="1"/>
  <c r="AM392" i="9" s="1"/>
  <c r="AM393" i="9" s="1"/>
  <c r="AM394" i="9" s="1"/>
  <c r="AM395" i="9" s="1"/>
  <c r="AM396" i="9" s="1"/>
  <c r="AM397" i="9" s="1"/>
  <c r="AM398" i="9" s="1"/>
  <c r="AM399" i="9" s="1"/>
  <c r="AM400" i="9" s="1"/>
  <c r="AM401" i="9" s="1"/>
  <c r="AM402" i="9" s="1"/>
  <c r="AM403" i="9" s="1"/>
  <c r="AM404" i="9" s="1"/>
  <c r="AM405" i="9" s="1"/>
  <c r="AM406" i="9" s="1"/>
  <c r="AM407" i="9" s="1"/>
  <c r="AM408" i="9" s="1"/>
  <c r="AM409" i="9" s="1"/>
  <c r="AM410" i="9" s="1"/>
  <c r="AM411" i="9" s="1"/>
  <c r="AM412" i="9" s="1"/>
  <c r="AM413" i="9" s="1"/>
  <c r="AM414" i="9" s="1"/>
  <c r="AM415" i="9" s="1"/>
  <c r="AM416" i="9" s="1"/>
  <c r="AM417" i="9" s="1"/>
  <c r="AM418" i="9" s="1"/>
  <c r="AM419" i="9" s="1"/>
  <c r="AR53" i="9"/>
  <c r="AR54" i="9" s="1"/>
  <c r="AR55" i="9" s="1"/>
  <c r="AR56" i="9" s="1"/>
  <c r="AR57" i="9" s="1"/>
  <c r="AR58" i="9" s="1"/>
  <c r="AR59" i="9" s="1"/>
  <c r="AR60" i="9" s="1"/>
  <c r="AR61" i="9" s="1"/>
  <c r="AR62" i="9" s="1"/>
  <c r="AR63" i="9" s="1"/>
  <c r="AR64" i="9" s="1"/>
  <c r="AR65" i="9" s="1"/>
  <c r="AR66" i="9" s="1"/>
  <c r="AR67" i="9" s="1"/>
  <c r="AR68" i="9" s="1"/>
  <c r="AR69" i="9" s="1"/>
  <c r="AR70" i="9" s="1"/>
  <c r="AR71" i="9" s="1"/>
  <c r="AR72" i="9" s="1"/>
  <c r="AR73" i="9" s="1"/>
  <c r="AR74" i="9" s="1"/>
  <c r="AR75" i="9" s="1"/>
  <c r="AR76" i="9" s="1"/>
  <c r="AR77" i="9" s="1"/>
  <c r="AR78" i="9" s="1"/>
  <c r="AR79" i="9" s="1"/>
  <c r="AR80" i="9" s="1"/>
  <c r="AR81" i="9" s="1"/>
  <c r="AR82" i="9" s="1"/>
  <c r="AR83" i="9" s="1"/>
  <c r="AR84" i="9" s="1"/>
  <c r="AR85" i="9" s="1"/>
  <c r="AR86" i="9" s="1"/>
  <c r="AR87" i="9" s="1"/>
  <c r="AR88" i="9" s="1"/>
  <c r="AR89" i="9" s="1"/>
  <c r="AR90" i="9" s="1"/>
  <c r="AR91" i="9" s="1"/>
  <c r="AR92" i="9" s="1"/>
  <c r="AR93" i="9" s="1"/>
  <c r="AR94" i="9" s="1"/>
  <c r="AR95" i="9" s="1"/>
  <c r="AR96" i="9" s="1"/>
  <c r="AR97" i="9" s="1"/>
  <c r="AR98" i="9" s="1"/>
  <c r="AR99" i="9" s="1"/>
  <c r="AR100" i="9" s="1"/>
  <c r="AR101" i="9" s="1"/>
  <c r="AR102" i="9" s="1"/>
  <c r="AR103" i="9" s="1"/>
  <c r="AR104" i="9" s="1"/>
  <c r="AR105" i="9" s="1"/>
  <c r="AR106" i="9" s="1"/>
  <c r="AR107" i="9" s="1"/>
  <c r="AR108" i="9" s="1"/>
  <c r="AR109" i="9" s="1"/>
  <c r="AR110" i="9" s="1"/>
  <c r="AR111" i="9" s="1"/>
  <c r="AR112" i="9" s="1"/>
  <c r="AR113" i="9" s="1"/>
  <c r="AR114" i="9" s="1"/>
  <c r="AR115" i="9" s="1"/>
  <c r="AR116" i="9" s="1"/>
  <c r="AR117" i="9" s="1"/>
  <c r="AR118" i="9" s="1"/>
  <c r="AR119" i="9" s="1"/>
  <c r="AR120" i="9" s="1"/>
  <c r="AR121" i="9" s="1"/>
  <c r="AR122" i="9" s="1"/>
  <c r="AR123" i="9" s="1"/>
  <c r="AR124" i="9" s="1"/>
  <c r="AR125" i="9" s="1"/>
  <c r="AR126" i="9" s="1"/>
  <c r="AR127" i="9" s="1"/>
  <c r="AR128" i="9" s="1"/>
  <c r="AR129" i="9" s="1"/>
  <c r="AR130" i="9" s="1"/>
  <c r="AR131" i="9" s="1"/>
  <c r="AR132" i="9" s="1"/>
  <c r="AR133" i="9" s="1"/>
  <c r="AR134" i="9" s="1"/>
  <c r="AR135" i="9" s="1"/>
  <c r="AR136" i="9" s="1"/>
  <c r="AR137" i="9" s="1"/>
  <c r="AR138" i="9" s="1"/>
  <c r="AR139" i="9" s="1"/>
  <c r="AR140" i="9" s="1"/>
  <c r="AR141" i="9" s="1"/>
  <c r="AR142" i="9" s="1"/>
  <c r="AR143" i="9" s="1"/>
  <c r="AR144" i="9" s="1"/>
  <c r="AR145" i="9" s="1"/>
  <c r="AR146" i="9" s="1"/>
  <c r="AR147" i="9" s="1"/>
  <c r="AR148" i="9" s="1"/>
  <c r="AR149" i="9" s="1"/>
  <c r="AR150" i="9" s="1"/>
  <c r="AR151" i="9" s="1"/>
  <c r="AR152" i="9" s="1"/>
  <c r="AR153" i="9" s="1"/>
  <c r="AR154" i="9" s="1"/>
  <c r="AR155" i="9" s="1"/>
  <c r="AR156" i="9" s="1"/>
  <c r="AR157" i="9" s="1"/>
  <c r="AR158" i="9" s="1"/>
  <c r="AR159" i="9" s="1"/>
  <c r="AR160" i="9" s="1"/>
  <c r="AR161" i="9" s="1"/>
  <c r="AR162" i="9" s="1"/>
  <c r="AR163" i="9" s="1"/>
  <c r="AR164" i="9" s="1"/>
  <c r="AR165" i="9" s="1"/>
  <c r="AR166" i="9" s="1"/>
  <c r="AR167" i="9" s="1"/>
  <c r="AR168" i="9" s="1"/>
  <c r="AR169" i="9" s="1"/>
  <c r="AR170" i="9" s="1"/>
  <c r="AR171" i="9" s="1"/>
  <c r="AR172" i="9" s="1"/>
  <c r="AR173" i="9" s="1"/>
  <c r="AR174" i="9" s="1"/>
  <c r="AR175" i="9" s="1"/>
  <c r="AR176" i="9" s="1"/>
  <c r="AR177" i="9" s="1"/>
  <c r="AR178" i="9" s="1"/>
  <c r="AR179" i="9" s="1"/>
  <c r="AR180" i="9" s="1"/>
  <c r="AR181" i="9" s="1"/>
  <c r="AR182" i="9" s="1"/>
  <c r="AR183" i="9" s="1"/>
  <c r="AR184" i="9" s="1"/>
  <c r="AR185" i="9" s="1"/>
  <c r="AR186" i="9" s="1"/>
  <c r="AR187" i="9" s="1"/>
  <c r="AR188" i="9" s="1"/>
  <c r="AR189" i="9" s="1"/>
  <c r="AR190" i="9" s="1"/>
  <c r="AR191" i="9" s="1"/>
  <c r="AR192" i="9" s="1"/>
  <c r="AR193" i="9" s="1"/>
  <c r="AR194" i="9" s="1"/>
  <c r="AR195" i="9" s="1"/>
  <c r="AR196" i="9" s="1"/>
  <c r="AR197" i="9" s="1"/>
  <c r="AR198" i="9" s="1"/>
  <c r="AR199" i="9" s="1"/>
  <c r="AR200" i="9" s="1"/>
  <c r="AR201" i="9" s="1"/>
  <c r="AR202" i="9" s="1"/>
  <c r="AR203" i="9" s="1"/>
  <c r="AR204" i="9" s="1"/>
  <c r="AR205" i="9" s="1"/>
  <c r="AR206" i="9" s="1"/>
  <c r="AR207" i="9" s="1"/>
  <c r="AR208" i="9" s="1"/>
  <c r="AR209" i="9" s="1"/>
  <c r="AR210" i="9" s="1"/>
  <c r="AR211" i="9" s="1"/>
  <c r="AR212" i="9" s="1"/>
  <c r="AR213" i="9" s="1"/>
  <c r="AR214" i="9" s="1"/>
  <c r="AR215" i="9" s="1"/>
  <c r="AR216" i="9" s="1"/>
  <c r="AR217" i="9" s="1"/>
  <c r="AR218" i="9" s="1"/>
  <c r="AR219" i="9" s="1"/>
  <c r="AR220" i="9" s="1"/>
  <c r="AR221" i="9" s="1"/>
  <c r="AR222" i="9" s="1"/>
  <c r="AR223" i="9" s="1"/>
  <c r="AR224" i="9" s="1"/>
  <c r="AR225" i="9" s="1"/>
  <c r="AR226" i="9" s="1"/>
  <c r="AR227" i="9" s="1"/>
  <c r="AR228" i="9" s="1"/>
  <c r="AR229" i="9" s="1"/>
  <c r="AR230" i="9" s="1"/>
  <c r="AR231" i="9" s="1"/>
  <c r="AR232" i="9" s="1"/>
  <c r="AR233" i="9" s="1"/>
  <c r="AR234" i="9" s="1"/>
  <c r="AR235" i="9" s="1"/>
  <c r="AR236" i="9" s="1"/>
  <c r="AR237" i="9" s="1"/>
  <c r="AR238" i="9" s="1"/>
  <c r="AR239" i="9" s="1"/>
  <c r="AR240" i="9" s="1"/>
  <c r="AR241" i="9" s="1"/>
  <c r="AR242" i="9" s="1"/>
  <c r="AR243" i="9" s="1"/>
  <c r="AR244" i="9" s="1"/>
  <c r="AR245" i="9" s="1"/>
  <c r="AR246" i="9" s="1"/>
  <c r="AR247" i="9" s="1"/>
  <c r="AR248" i="9" s="1"/>
  <c r="AR249" i="9" s="1"/>
  <c r="AR250" i="9" s="1"/>
  <c r="AR251" i="9" s="1"/>
  <c r="AR252" i="9" s="1"/>
  <c r="AR253" i="9" s="1"/>
  <c r="AR254" i="9" s="1"/>
  <c r="AR255" i="9" s="1"/>
  <c r="AR256" i="9" s="1"/>
  <c r="AR257" i="9" s="1"/>
  <c r="AR258" i="9" s="1"/>
  <c r="AR259" i="9" s="1"/>
  <c r="AR260" i="9" s="1"/>
  <c r="AR261" i="9" s="1"/>
  <c r="AR262" i="9" s="1"/>
  <c r="AR263" i="9" s="1"/>
  <c r="AR264" i="9" s="1"/>
  <c r="AR265" i="9" s="1"/>
  <c r="AR266" i="9" s="1"/>
  <c r="AR267" i="9" s="1"/>
  <c r="AR268" i="9" s="1"/>
  <c r="AR269" i="9" s="1"/>
  <c r="AR270" i="9" s="1"/>
  <c r="AR271" i="9" s="1"/>
  <c r="AR272" i="9" s="1"/>
  <c r="AR273" i="9" s="1"/>
  <c r="AR274" i="9" s="1"/>
  <c r="AR275" i="9" s="1"/>
  <c r="AR276" i="9" s="1"/>
  <c r="AR277" i="9" s="1"/>
  <c r="AR278" i="9" s="1"/>
  <c r="AR279" i="9" s="1"/>
  <c r="AR280" i="9" s="1"/>
  <c r="AR281" i="9" s="1"/>
  <c r="AR282" i="9" s="1"/>
  <c r="AR283" i="9" s="1"/>
  <c r="AR284" i="9" s="1"/>
  <c r="AR285" i="9" s="1"/>
  <c r="AR286" i="9" s="1"/>
  <c r="AR287" i="9" s="1"/>
  <c r="AR288" i="9" s="1"/>
  <c r="AR289" i="9" s="1"/>
  <c r="AR290" i="9" s="1"/>
  <c r="AR291" i="9" s="1"/>
  <c r="AR292" i="9" s="1"/>
  <c r="AR293" i="9" s="1"/>
  <c r="AR294" i="9" s="1"/>
  <c r="AR295" i="9" s="1"/>
  <c r="AR296" i="9" s="1"/>
  <c r="AR297" i="9" s="1"/>
  <c r="AR298" i="9" s="1"/>
  <c r="AR299" i="9" s="1"/>
  <c r="AR300" i="9" s="1"/>
  <c r="AR301" i="9" s="1"/>
  <c r="AR302" i="9" s="1"/>
  <c r="AR303" i="9" s="1"/>
  <c r="AR304" i="9" s="1"/>
  <c r="AR305" i="9" s="1"/>
  <c r="AR306" i="9" s="1"/>
  <c r="AR307" i="9" s="1"/>
  <c r="AR308" i="9" s="1"/>
  <c r="AR309" i="9" s="1"/>
  <c r="AR310" i="9" s="1"/>
  <c r="AR311" i="9" s="1"/>
  <c r="AR312" i="9" s="1"/>
  <c r="AR313" i="9" s="1"/>
  <c r="AR314" i="9" s="1"/>
  <c r="AR315" i="9" s="1"/>
  <c r="AR316" i="9" s="1"/>
  <c r="AR317" i="9" s="1"/>
  <c r="AR318" i="9" s="1"/>
  <c r="AR319" i="9" s="1"/>
  <c r="AR320" i="9" s="1"/>
  <c r="AR321" i="9" s="1"/>
  <c r="AR322" i="9" s="1"/>
  <c r="AR323" i="9" s="1"/>
  <c r="AR324" i="9" s="1"/>
  <c r="AR325" i="9" s="1"/>
  <c r="AR326" i="9" s="1"/>
  <c r="AR327" i="9" s="1"/>
  <c r="AR328" i="9" s="1"/>
  <c r="AR329" i="9" s="1"/>
  <c r="AR330" i="9" s="1"/>
  <c r="AR331" i="9" s="1"/>
  <c r="AR332" i="9" s="1"/>
  <c r="AR333" i="9" s="1"/>
  <c r="AR334" i="9" s="1"/>
  <c r="AR335" i="9" s="1"/>
  <c r="AR336" i="9" s="1"/>
  <c r="AR337" i="9" s="1"/>
  <c r="AR338" i="9" s="1"/>
  <c r="AR339" i="9" s="1"/>
  <c r="AR340" i="9" s="1"/>
  <c r="AR341" i="9" s="1"/>
  <c r="AR342" i="9" s="1"/>
  <c r="AR343" i="9" s="1"/>
  <c r="AR344" i="9" s="1"/>
  <c r="AR345" i="9" s="1"/>
  <c r="AR346" i="9" s="1"/>
  <c r="AR347" i="9" s="1"/>
  <c r="AR348" i="9" s="1"/>
  <c r="AR349" i="9" s="1"/>
  <c r="AR350" i="9" s="1"/>
  <c r="AR351" i="9" s="1"/>
  <c r="AR352" i="9" s="1"/>
  <c r="AR353" i="9" s="1"/>
  <c r="AR354" i="9" s="1"/>
  <c r="AR355" i="9" s="1"/>
  <c r="AR356" i="9" s="1"/>
  <c r="AR357" i="9" s="1"/>
  <c r="AR358" i="9" s="1"/>
  <c r="AR359" i="9" s="1"/>
  <c r="AR360" i="9" s="1"/>
  <c r="AR361" i="9" s="1"/>
  <c r="AR362" i="9" s="1"/>
  <c r="AR363" i="9" s="1"/>
  <c r="AR364" i="9" s="1"/>
  <c r="AR365" i="9" s="1"/>
  <c r="AR366" i="9" s="1"/>
  <c r="AR367" i="9" s="1"/>
  <c r="AR368" i="9" s="1"/>
  <c r="AR369" i="9" s="1"/>
  <c r="AR370" i="9" s="1"/>
  <c r="AR371" i="9" s="1"/>
  <c r="AR372" i="9" s="1"/>
  <c r="AR373" i="9" s="1"/>
  <c r="AR374" i="9" s="1"/>
  <c r="AR375" i="9" s="1"/>
  <c r="AR376" i="9" s="1"/>
  <c r="AR377" i="9" s="1"/>
  <c r="AR378" i="9" s="1"/>
  <c r="AR379" i="9" s="1"/>
  <c r="AR380" i="9" s="1"/>
  <c r="AR381" i="9" s="1"/>
  <c r="AR382" i="9" s="1"/>
  <c r="AR383" i="9" s="1"/>
  <c r="AR384" i="9" s="1"/>
  <c r="AR385" i="9" s="1"/>
  <c r="AR386" i="9" s="1"/>
  <c r="AR387" i="9" s="1"/>
  <c r="AR388" i="9" s="1"/>
  <c r="AR389" i="9" s="1"/>
  <c r="AR390" i="9" s="1"/>
  <c r="AR391" i="9" s="1"/>
  <c r="AR392" i="9" s="1"/>
  <c r="AR393" i="9" s="1"/>
  <c r="AR394" i="9" s="1"/>
  <c r="AR395" i="9" s="1"/>
  <c r="AR396" i="9" s="1"/>
  <c r="AR397" i="9" s="1"/>
  <c r="AR398" i="9" s="1"/>
  <c r="AR399" i="9" s="1"/>
  <c r="AR400" i="9" s="1"/>
  <c r="AR401" i="9" s="1"/>
  <c r="AR402" i="9" s="1"/>
  <c r="AR403" i="9" s="1"/>
  <c r="AR404" i="9" s="1"/>
  <c r="AR405" i="9" s="1"/>
  <c r="AR406" i="9" s="1"/>
  <c r="AR407" i="9" s="1"/>
  <c r="AR408" i="9" s="1"/>
  <c r="AR409" i="9" s="1"/>
  <c r="AR410" i="9" s="1"/>
  <c r="AR411" i="9" s="1"/>
  <c r="AR412" i="9" s="1"/>
  <c r="AR413" i="9" s="1"/>
  <c r="AR414" i="9" s="1"/>
  <c r="AR415" i="9" s="1"/>
  <c r="AR416" i="9" s="1"/>
  <c r="AR417" i="9" s="1"/>
  <c r="AR418" i="9" s="1"/>
  <c r="AR419" i="9" s="1"/>
  <c r="AH53" i="9"/>
  <c r="AH54" i="9" s="1"/>
  <c r="AH55" i="9" s="1"/>
  <c r="AH56" i="9" s="1"/>
  <c r="AH57" i="9" s="1"/>
  <c r="AH58" i="9" s="1"/>
  <c r="AH59" i="9" s="1"/>
  <c r="AH60" i="9" s="1"/>
  <c r="AH61" i="9" s="1"/>
  <c r="AH62" i="9" s="1"/>
  <c r="AH63" i="9" s="1"/>
  <c r="AH64" i="9" s="1"/>
  <c r="AH65" i="9" s="1"/>
  <c r="AH66" i="9" s="1"/>
  <c r="AH67" i="9" s="1"/>
  <c r="AH68" i="9" s="1"/>
  <c r="AH69" i="9" s="1"/>
  <c r="AH70" i="9" s="1"/>
  <c r="AH71" i="9" s="1"/>
  <c r="AH72" i="9" s="1"/>
  <c r="AH73" i="9" s="1"/>
  <c r="AH74" i="9" s="1"/>
  <c r="AH75" i="9" s="1"/>
  <c r="AH76" i="9" s="1"/>
  <c r="AH77" i="9" s="1"/>
  <c r="AH78" i="9" s="1"/>
  <c r="AH79" i="9" s="1"/>
  <c r="AH80" i="9" s="1"/>
  <c r="AH81" i="9" s="1"/>
  <c r="AH82" i="9" s="1"/>
  <c r="AH83" i="9" s="1"/>
  <c r="AH84" i="9" s="1"/>
  <c r="AH85" i="9" s="1"/>
  <c r="AH86" i="9" s="1"/>
  <c r="AH87" i="9" s="1"/>
  <c r="AH88" i="9" s="1"/>
  <c r="AH89" i="9" s="1"/>
  <c r="AH90" i="9" s="1"/>
  <c r="AH91" i="9" s="1"/>
  <c r="AH92" i="9" s="1"/>
  <c r="AH93" i="9" s="1"/>
  <c r="AH94" i="9" s="1"/>
  <c r="AH95" i="9" s="1"/>
  <c r="AH96" i="9" s="1"/>
  <c r="AH97" i="9" s="1"/>
  <c r="AH98" i="9" s="1"/>
  <c r="AH99" i="9" s="1"/>
  <c r="AH100" i="9" s="1"/>
  <c r="AH101" i="9" s="1"/>
  <c r="AH102" i="9" s="1"/>
  <c r="AH103" i="9" s="1"/>
  <c r="AH104" i="9" s="1"/>
  <c r="AH105" i="9" s="1"/>
  <c r="AH106" i="9" s="1"/>
  <c r="AH107" i="9" s="1"/>
  <c r="AH108" i="9" s="1"/>
  <c r="AH109" i="9" s="1"/>
  <c r="AH110" i="9" s="1"/>
  <c r="AH111" i="9" s="1"/>
  <c r="AH112" i="9" s="1"/>
  <c r="AH113" i="9" s="1"/>
  <c r="AH114" i="9" s="1"/>
  <c r="AH115" i="9" s="1"/>
  <c r="AH116" i="9" s="1"/>
  <c r="AH117" i="9" s="1"/>
  <c r="AH118" i="9" s="1"/>
  <c r="AH119" i="9" s="1"/>
  <c r="AH120" i="9" s="1"/>
  <c r="AH121" i="9" s="1"/>
  <c r="AH122" i="9" s="1"/>
  <c r="AH123" i="9" s="1"/>
  <c r="AH124" i="9" s="1"/>
  <c r="AH125" i="9" s="1"/>
  <c r="AH126" i="9" s="1"/>
  <c r="AH127" i="9" s="1"/>
  <c r="AH128" i="9" s="1"/>
  <c r="AH129" i="9" s="1"/>
  <c r="AH130" i="9" s="1"/>
  <c r="AH131" i="9" s="1"/>
  <c r="AH132" i="9" s="1"/>
  <c r="AH133" i="9" s="1"/>
  <c r="AH134" i="9" s="1"/>
  <c r="AH135" i="9" s="1"/>
  <c r="AH136" i="9" s="1"/>
  <c r="AH137" i="9" s="1"/>
  <c r="AH138" i="9" s="1"/>
  <c r="AH139" i="9" s="1"/>
  <c r="AH140" i="9" s="1"/>
  <c r="AH141" i="9" s="1"/>
  <c r="AH142" i="9" s="1"/>
  <c r="AH143" i="9" s="1"/>
  <c r="AH144" i="9" s="1"/>
  <c r="AH145" i="9" s="1"/>
  <c r="AH146" i="9" s="1"/>
  <c r="AH147" i="9" s="1"/>
  <c r="AH148" i="9" s="1"/>
  <c r="AH149" i="9" s="1"/>
  <c r="AH150" i="9" s="1"/>
  <c r="AH151" i="9" s="1"/>
  <c r="AH152" i="9" s="1"/>
  <c r="AH153" i="9" s="1"/>
  <c r="AH154" i="9" s="1"/>
  <c r="AH155" i="9" s="1"/>
  <c r="AH156" i="9" s="1"/>
  <c r="AH157" i="9" s="1"/>
  <c r="AH158" i="9" s="1"/>
  <c r="AH159" i="9" s="1"/>
  <c r="AH160" i="9" s="1"/>
  <c r="AH161" i="9" s="1"/>
  <c r="AH162" i="9" s="1"/>
  <c r="AH163" i="9" s="1"/>
  <c r="AH164" i="9" s="1"/>
  <c r="AH165" i="9" s="1"/>
  <c r="AH166" i="9" s="1"/>
  <c r="AH167" i="9" s="1"/>
  <c r="AH168" i="9" s="1"/>
  <c r="AH169" i="9" s="1"/>
  <c r="AH170" i="9" s="1"/>
  <c r="AH171" i="9" s="1"/>
  <c r="AH172" i="9" s="1"/>
  <c r="AH173" i="9" s="1"/>
  <c r="AH174" i="9" s="1"/>
  <c r="AH175" i="9" s="1"/>
  <c r="AH176" i="9" s="1"/>
  <c r="AH177" i="9" s="1"/>
  <c r="AH178" i="9" s="1"/>
  <c r="AH179" i="9" s="1"/>
  <c r="AH180" i="9" s="1"/>
  <c r="AH181" i="9" s="1"/>
  <c r="AH182" i="9" s="1"/>
  <c r="AH183" i="9" s="1"/>
  <c r="AH184" i="9" s="1"/>
  <c r="AH185" i="9" s="1"/>
  <c r="AH186" i="9" s="1"/>
  <c r="AH187" i="9" s="1"/>
  <c r="AH188" i="9" s="1"/>
  <c r="AH189" i="9" s="1"/>
  <c r="AH190" i="9" s="1"/>
  <c r="AH191" i="9" s="1"/>
  <c r="AH192" i="9" s="1"/>
  <c r="AH193" i="9" s="1"/>
  <c r="AH194" i="9" s="1"/>
  <c r="AH195" i="9" s="1"/>
  <c r="AH196" i="9" s="1"/>
  <c r="AH197" i="9" s="1"/>
  <c r="AH198" i="9" s="1"/>
  <c r="AH199" i="9" s="1"/>
  <c r="AH200" i="9" s="1"/>
  <c r="AH201" i="9" s="1"/>
  <c r="AH202" i="9" s="1"/>
  <c r="AH203" i="9" s="1"/>
  <c r="AH204" i="9" s="1"/>
  <c r="AH205" i="9" s="1"/>
  <c r="AH206" i="9" s="1"/>
  <c r="AH207" i="9" s="1"/>
  <c r="AH208" i="9" s="1"/>
  <c r="AH209" i="9" s="1"/>
  <c r="AH210" i="9" s="1"/>
  <c r="AH211" i="9" s="1"/>
  <c r="AH212" i="9" s="1"/>
  <c r="AH213" i="9" s="1"/>
  <c r="AH214" i="9" s="1"/>
  <c r="AH215" i="9" s="1"/>
  <c r="AH216" i="9" s="1"/>
  <c r="AH217" i="9" s="1"/>
  <c r="AH218" i="9" s="1"/>
  <c r="AH219" i="9" s="1"/>
  <c r="AH220" i="9" s="1"/>
  <c r="AH221" i="9" s="1"/>
  <c r="AH222" i="9" s="1"/>
  <c r="AH223" i="9" s="1"/>
  <c r="AH224" i="9" s="1"/>
  <c r="AH225" i="9" s="1"/>
  <c r="AH226" i="9" s="1"/>
  <c r="AH227" i="9" s="1"/>
  <c r="AH228" i="9" s="1"/>
  <c r="AH229" i="9" s="1"/>
  <c r="AH230" i="9" s="1"/>
  <c r="AH231" i="9" s="1"/>
  <c r="AH232" i="9" s="1"/>
  <c r="AH233" i="9" s="1"/>
  <c r="AH234" i="9" s="1"/>
  <c r="AH235" i="9" s="1"/>
  <c r="AH236" i="9" s="1"/>
  <c r="AH237" i="9" s="1"/>
  <c r="AH238" i="9" s="1"/>
  <c r="AH239" i="9" s="1"/>
  <c r="AH240" i="9" s="1"/>
  <c r="AH241" i="9" s="1"/>
  <c r="AH242" i="9" s="1"/>
  <c r="AH243" i="9" s="1"/>
  <c r="AH244" i="9" s="1"/>
  <c r="AH245" i="9" s="1"/>
  <c r="AH246" i="9" s="1"/>
  <c r="AH247" i="9" s="1"/>
  <c r="AH248" i="9" s="1"/>
  <c r="AH249" i="9" s="1"/>
  <c r="AH250" i="9" s="1"/>
  <c r="AH251" i="9" s="1"/>
  <c r="AH252" i="9" s="1"/>
  <c r="AH253" i="9" s="1"/>
  <c r="AH254" i="9" s="1"/>
  <c r="AH255" i="9" s="1"/>
  <c r="AH256" i="9" s="1"/>
  <c r="AH257" i="9" s="1"/>
  <c r="AH258" i="9" s="1"/>
  <c r="AH259" i="9" s="1"/>
  <c r="AH260" i="9" s="1"/>
  <c r="AH261" i="9" s="1"/>
  <c r="AH262" i="9" s="1"/>
  <c r="AH263" i="9" s="1"/>
  <c r="AH264" i="9" s="1"/>
  <c r="AH265" i="9" s="1"/>
  <c r="AH266" i="9" s="1"/>
  <c r="AH267" i="9" s="1"/>
  <c r="AH268" i="9" s="1"/>
  <c r="AH269" i="9" s="1"/>
  <c r="AH270" i="9" s="1"/>
  <c r="AH271" i="9" s="1"/>
  <c r="AH272" i="9" s="1"/>
  <c r="AH273" i="9" s="1"/>
  <c r="AH274" i="9" s="1"/>
  <c r="AH275" i="9" s="1"/>
  <c r="AH276" i="9" s="1"/>
  <c r="AH277" i="9" s="1"/>
  <c r="AH278" i="9" s="1"/>
  <c r="AH279" i="9" s="1"/>
  <c r="AH280" i="9" s="1"/>
  <c r="AH281" i="9" s="1"/>
  <c r="AH282" i="9" s="1"/>
  <c r="AH283" i="9" s="1"/>
  <c r="AH284" i="9" s="1"/>
  <c r="AH285" i="9" s="1"/>
  <c r="AH286" i="9" s="1"/>
  <c r="AH287" i="9" s="1"/>
  <c r="AH288" i="9" s="1"/>
  <c r="AH289" i="9" s="1"/>
  <c r="AH290" i="9" s="1"/>
  <c r="AH291" i="9" s="1"/>
  <c r="AH292" i="9" s="1"/>
  <c r="AH293" i="9" s="1"/>
  <c r="AH294" i="9" s="1"/>
  <c r="AH295" i="9" s="1"/>
  <c r="AH296" i="9" s="1"/>
  <c r="AH297" i="9" s="1"/>
  <c r="AH298" i="9" s="1"/>
  <c r="AH299" i="9" s="1"/>
  <c r="AH300" i="9" s="1"/>
  <c r="AH301" i="9" s="1"/>
  <c r="AH302" i="9" s="1"/>
  <c r="AH303" i="9" s="1"/>
  <c r="AH304" i="9" s="1"/>
  <c r="AH305" i="9" s="1"/>
  <c r="AH306" i="9" s="1"/>
  <c r="AH307" i="9" s="1"/>
  <c r="AH308" i="9" s="1"/>
  <c r="AH309" i="9" s="1"/>
  <c r="AH310" i="9" s="1"/>
  <c r="AH311" i="9" s="1"/>
  <c r="AH312" i="9" s="1"/>
  <c r="AH313" i="9" s="1"/>
  <c r="AH314" i="9" s="1"/>
  <c r="AH315" i="9" s="1"/>
  <c r="AH316" i="9" s="1"/>
  <c r="AH317" i="9" s="1"/>
  <c r="AH318" i="9" s="1"/>
  <c r="AH319" i="9" s="1"/>
  <c r="AH320" i="9" s="1"/>
  <c r="AH321" i="9" s="1"/>
  <c r="AH322" i="9" s="1"/>
  <c r="AH323" i="9" s="1"/>
  <c r="AH324" i="9" s="1"/>
  <c r="AH325" i="9" s="1"/>
  <c r="AH326" i="9" s="1"/>
  <c r="AH327" i="9" s="1"/>
  <c r="AH328" i="9" s="1"/>
  <c r="AH329" i="9" s="1"/>
  <c r="AH330" i="9" s="1"/>
  <c r="AH331" i="9" s="1"/>
  <c r="AH332" i="9" s="1"/>
  <c r="AH333" i="9" s="1"/>
  <c r="AH334" i="9" s="1"/>
  <c r="AH335" i="9" s="1"/>
  <c r="AH336" i="9" s="1"/>
  <c r="AH337" i="9" s="1"/>
  <c r="AH338" i="9" s="1"/>
  <c r="AH339" i="9" s="1"/>
  <c r="AH340" i="9" s="1"/>
  <c r="AH341" i="9" s="1"/>
  <c r="AH342" i="9" s="1"/>
  <c r="AH343" i="9" s="1"/>
  <c r="AH344" i="9" s="1"/>
  <c r="AH345" i="9" s="1"/>
  <c r="AH346" i="9" s="1"/>
  <c r="AH347" i="9" s="1"/>
  <c r="AH348" i="9" s="1"/>
  <c r="AH349" i="9" s="1"/>
  <c r="AH350" i="9" s="1"/>
  <c r="AH351" i="9" s="1"/>
  <c r="AH352" i="9" s="1"/>
  <c r="AH353" i="9" s="1"/>
  <c r="AH354" i="9" s="1"/>
  <c r="AH355" i="9" s="1"/>
  <c r="AH356" i="9" s="1"/>
  <c r="AH357" i="9" s="1"/>
  <c r="AH358" i="9" s="1"/>
  <c r="AH359" i="9" s="1"/>
  <c r="AH360" i="9" s="1"/>
  <c r="AH361" i="9" s="1"/>
  <c r="AH362" i="9" s="1"/>
  <c r="AH363" i="9" s="1"/>
  <c r="AH364" i="9" s="1"/>
  <c r="AH365" i="9" s="1"/>
  <c r="AH366" i="9" s="1"/>
  <c r="AH367" i="9" s="1"/>
  <c r="AH368" i="9" s="1"/>
  <c r="AH369" i="9" s="1"/>
  <c r="AH370" i="9" s="1"/>
  <c r="AH371" i="9" s="1"/>
  <c r="AH372" i="9" s="1"/>
  <c r="AH373" i="9" s="1"/>
  <c r="AH374" i="9" s="1"/>
  <c r="AH375" i="9" s="1"/>
  <c r="AH376" i="9" s="1"/>
  <c r="AH377" i="9" s="1"/>
  <c r="AH378" i="9" s="1"/>
  <c r="AH379" i="9" s="1"/>
  <c r="AH380" i="9" s="1"/>
  <c r="AH381" i="9" s="1"/>
  <c r="AH382" i="9" s="1"/>
  <c r="AH383" i="9" s="1"/>
  <c r="AH384" i="9" s="1"/>
  <c r="AH385" i="9" s="1"/>
  <c r="AH386" i="9" s="1"/>
  <c r="AH387" i="9" s="1"/>
  <c r="AH388" i="9" s="1"/>
  <c r="AH389" i="9" s="1"/>
  <c r="AH390" i="9" s="1"/>
  <c r="AH391" i="9" s="1"/>
  <c r="AH392" i="9" s="1"/>
  <c r="AH393" i="9" s="1"/>
  <c r="AH394" i="9" s="1"/>
  <c r="AH395" i="9" s="1"/>
  <c r="AH396" i="9" s="1"/>
  <c r="AH397" i="9" s="1"/>
  <c r="AH398" i="9" s="1"/>
  <c r="AH399" i="9" s="1"/>
  <c r="AH400" i="9" s="1"/>
  <c r="AH401" i="9" s="1"/>
  <c r="AH402" i="9" s="1"/>
  <c r="AH403" i="9" s="1"/>
  <c r="AH404" i="9" s="1"/>
  <c r="AH405" i="9" s="1"/>
  <c r="AH406" i="9" s="1"/>
  <c r="AH407" i="9" s="1"/>
  <c r="AH408" i="9" s="1"/>
  <c r="AH409" i="9" s="1"/>
  <c r="AH410" i="9" s="1"/>
  <c r="AH411" i="9" s="1"/>
  <c r="AH412" i="9" s="1"/>
  <c r="AH413" i="9" s="1"/>
  <c r="AH414" i="9" s="1"/>
  <c r="AH415" i="9" s="1"/>
  <c r="AH416" i="9" s="1"/>
  <c r="AH417" i="9" s="1"/>
  <c r="AH418" i="9" s="1"/>
  <c r="AH419" i="9" s="1"/>
  <c r="AI53" i="9"/>
  <c r="AI54" i="9" s="1"/>
  <c r="AI55" i="9" s="1"/>
  <c r="AI56" i="9" s="1"/>
  <c r="AI57" i="9" s="1"/>
  <c r="AI58" i="9" s="1"/>
  <c r="AI59" i="9" s="1"/>
  <c r="AI60" i="9" s="1"/>
  <c r="AI61" i="9" s="1"/>
  <c r="AI62" i="9" s="1"/>
  <c r="AI63" i="9" s="1"/>
  <c r="AI64" i="9" s="1"/>
  <c r="AI65" i="9" s="1"/>
  <c r="AI66" i="9" s="1"/>
  <c r="AI67" i="9" s="1"/>
  <c r="AI68" i="9" s="1"/>
  <c r="AI69" i="9" s="1"/>
  <c r="AI70" i="9" s="1"/>
  <c r="AI71" i="9" s="1"/>
  <c r="AI72" i="9" s="1"/>
  <c r="AI73" i="9" s="1"/>
  <c r="AI74" i="9" s="1"/>
  <c r="AI75" i="9" s="1"/>
  <c r="AI76" i="9" s="1"/>
  <c r="AI77" i="9" s="1"/>
  <c r="AI78" i="9" s="1"/>
  <c r="AI79" i="9" s="1"/>
  <c r="AI80" i="9" s="1"/>
  <c r="AI81" i="9" s="1"/>
  <c r="AI82" i="9" s="1"/>
  <c r="AI83" i="9" s="1"/>
  <c r="AI84" i="9" s="1"/>
  <c r="AI85" i="9" s="1"/>
  <c r="AI86" i="9" s="1"/>
  <c r="AI87" i="9" s="1"/>
  <c r="AI88" i="9" s="1"/>
  <c r="AI89" i="9" s="1"/>
  <c r="AI90" i="9" s="1"/>
  <c r="AI91" i="9" s="1"/>
  <c r="AI92" i="9" s="1"/>
  <c r="AI93" i="9" s="1"/>
  <c r="AI94" i="9" s="1"/>
  <c r="AI95" i="9" s="1"/>
  <c r="AI96" i="9" s="1"/>
  <c r="AI97" i="9" s="1"/>
  <c r="AI98" i="9" s="1"/>
  <c r="AI99" i="9" s="1"/>
  <c r="AI100" i="9" s="1"/>
  <c r="AI101" i="9" s="1"/>
  <c r="AI102" i="9" s="1"/>
  <c r="AI103" i="9" s="1"/>
  <c r="AI104" i="9" s="1"/>
  <c r="AI105" i="9" s="1"/>
  <c r="AI106" i="9" s="1"/>
  <c r="AI107" i="9" s="1"/>
  <c r="AI108" i="9" s="1"/>
  <c r="AI109" i="9" s="1"/>
  <c r="AI110" i="9" s="1"/>
  <c r="AI111" i="9" s="1"/>
  <c r="AI112" i="9" s="1"/>
  <c r="AI113" i="9" s="1"/>
  <c r="AI114" i="9" s="1"/>
  <c r="AI115" i="9" s="1"/>
  <c r="AI116" i="9" s="1"/>
  <c r="AI117" i="9" s="1"/>
  <c r="AI118" i="9" s="1"/>
  <c r="AI119" i="9" s="1"/>
  <c r="AI120" i="9" s="1"/>
  <c r="AI121" i="9" s="1"/>
  <c r="AI122" i="9" s="1"/>
  <c r="AI123" i="9" s="1"/>
  <c r="AI124" i="9" s="1"/>
  <c r="AI125" i="9" s="1"/>
  <c r="AI126" i="9" s="1"/>
  <c r="AI127" i="9" s="1"/>
  <c r="AI128" i="9" s="1"/>
  <c r="AI129" i="9" s="1"/>
  <c r="AI130" i="9" s="1"/>
  <c r="AI131" i="9" s="1"/>
  <c r="AI132" i="9" s="1"/>
  <c r="AI133" i="9" s="1"/>
  <c r="AI134" i="9" s="1"/>
  <c r="AI135" i="9" s="1"/>
  <c r="AI136" i="9" s="1"/>
  <c r="AI137" i="9" s="1"/>
  <c r="AI138" i="9" s="1"/>
  <c r="AI139" i="9" s="1"/>
  <c r="AI140" i="9" s="1"/>
  <c r="AI141" i="9" s="1"/>
  <c r="AI142" i="9" s="1"/>
  <c r="AI143" i="9" s="1"/>
  <c r="AI144" i="9" s="1"/>
  <c r="AI145" i="9" s="1"/>
  <c r="AI146" i="9" s="1"/>
  <c r="AI147" i="9" s="1"/>
  <c r="AI148" i="9" s="1"/>
  <c r="AI149" i="9" s="1"/>
  <c r="AI150" i="9" s="1"/>
  <c r="AI151" i="9" s="1"/>
  <c r="AI152" i="9" s="1"/>
  <c r="AI153" i="9" s="1"/>
  <c r="AI154" i="9" s="1"/>
  <c r="AI155" i="9" s="1"/>
  <c r="AI156" i="9" s="1"/>
  <c r="AI157" i="9" s="1"/>
  <c r="AI158" i="9" s="1"/>
  <c r="AI159" i="9" s="1"/>
  <c r="AI160" i="9" s="1"/>
  <c r="AI161" i="9" s="1"/>
  <c r="AI162" i="9" s="1"/>
  <c r="AI163" i="9" s="1"/>
  <c r="AI164" i="9" s="1"/>
  <c r="AI165" i="9" s="1"/>
  <c r="AI166" i="9" s="1"/>
  <c r="AI167" i="9" s="1"/>
  <c r="AI168" i="9" s="1"/>
  <c r="AI169" i="9" s="1"/>
  <c r="AI170" i="9" s="1"/>
  <c r="AI171" i="9" s="1"/>
  <c r="AI172" i="9" s="1"/>
  <c r="AI173" i="9" s="1"/>
  <c r="AI174" i="9" s="1"/>
  <c r="AI175" i="9" s="1"/>
  <c r="AI176" i="9" s="1"/>
  <c r="AI177" i="9" s="1"/>
  <c r="AI178" i="9" s="1"/>
  <c r="AI179" i="9" s="1"/>
  <c r="AI180" i="9" s="1"/>
  <c r="AI181" i="9" s="1"/>
  <c r="AI182" i="9" s="1"/>
  <c r="AI183" i="9" s="1"/>
  <c r="AI184" i="9" s="1"/>
  <c r="AI185" i="9" s="1"/>
  <c r="AI186" i="9" s="1"/>
  <c r="AI187" i="9" s="1"/>
  <c r="AI188" i="9" s="1"/>
  <c r="AI189" i="9" s="1"/>
  <c r="AI190" i="9" s="1"/>
  <c r="AI191" i="9" s="1"/>
  <c r="AI192" i="9" s="1"/>
  <c r="AI193" i="9" s="1"/>
  <c r="AI194" i="9" s="1"/>
  <c r="AI195" i="9" s="1"/>
  <c r="AI196" i="9" s="1"/>
  <c r="AI197" i="9" s="1"/>
  <c r="AI198" i="9" s="1"/>
  <c r="AI199" i="9" s="1"/>
  <c r="AI200" i="9" s="1"/>
  <c r="AI201" i="9" s="1"/>
  <c r="AI202" i="9" s="1"/>
  <c r="AI203" i="9" s="1"/>
  <c r="AI204" i="9" s="1"/>
  <c r="AI205" i="9" s="1"/>
  <c r="AI206" i="9" s="1"/>
  <c r="AI207" i="9" s="1"/>
  <c r="AI208" i="9" s="1"/>
  <c r="AI209" i="9" s="1"/>
  <c r="AI210" i="9" s="1"/>
  <c r="AI211" i="9" s="1"/>
  <c r="AI212" i="9" s="1"/>
  <c r="AI213" i="9" s="1"/>
  <c r="AI214" i="9" s="1"/>
  <c r="AI215" i="9" s="1"/>
  <c r="AI216" i="9" s="1"/>
  <c r="AI217" i="9" s="1"/>
  <c r="AI218" i="9" s="1"/>
  <c r="AI219" i="9" s="1"/>
  <c r="AI220" i="9" s="1"/>
  <c r="AI221" i="9" s="1"/>
  <c r="AI222" i="9" s="1"/>
  <c r="AI223" i="9" s="1"/>
  <c r="AI224" i="9" s="1"/>
  <c r="AI225" i="9" s="1"/>
  <c r="AI226" i="9" s="1"/>
  <c r="AI227" i="9" s="1"/>
  <c r="AI228" i="9" s="1"/>
  <c r="AI229" i="9" s="1"/>
  <c r="AI230" i="9" s="1"/>
  <c r="AI231" i="9" s="1"/>
  <c r="AI232" i="9" s="1"/>
  <c r="AI233" i="9" s="1"/>
  <c r="AI234" i="9" s="1"/>
  <c r="AI235" i="9" s="1"/>
  <c r="AI236" i="9" s="1"/>
  <c r="AI237" i="9" s="1"/>
  <c r="AI238" i="9" s="1"/>
  <c r="AI239" i="9" s="1"/>
  <c r="AI240" i="9" s="1"/>
  <c r="AI241" i="9" s="1"/>
  <c r="AI242" i="9" s="1"/>
  <c r="AI243" i="9" s="1"/>
  <c r="AI244" i="9" s="1"/>
  <c r="AI245" i="9" s="1"/>
  <c r="AI246" i="9" s="1"/>
  <c r="AI247" i="9" s="1"/>
  <c r="AI248" i="9" s="1"/>
  <c r="AI249" i="9" s="1"/>
  <c r="AI250" i="9" s="1"/>
  <c r="AI251" i="9" s="1"/>
  <c r="AI252" i="9" s="1"/>
  <c r="AI253" i="9" s="1"/>
  <c r="AI254" i="9" s="1"/>
  <c r="AI255" i="9" s="1"/>
  <c r="AI256" i="9" s="1"/>
  <c r="AI257" i="9" s="1"/>
  <c r="AI258" i="9" s="1"/>
  <c r="AI259" i="9" s="1"/>
  <c r="AI260" i="9" s="1"/>
  <c r="AI261" i="9" s="1"/>
  <c r="AI262" i="9" s="1"/>
  <c r="AI263" i="9" s="1"/>
  <c r="AI264" i="9" s="1"/>
  <c r="AI265" i="9" s="1"/>
  <c r="AI266" i="9" s="1"/>
  <c r="AI267" i="9" s="1"/>
  <c r="AI268" i="9" s="1"/>
  <c r="AI269" i="9" s="1"/>
  <c r="AI270" i="9" s="1"/>
  <c r="AI271" i="9" s="1"/>
  <c r="AI272" i="9" s="1"/>
  <c r="AI273" i="9" s="1"/>
  <c r="AI274" i="9" s="1"/>
  <c r="AI275" i="9" s="1"/>
  <c r="AI276" i="9" s="1"/>
  <c r="AI277" i="9" s="1"/>
  <c r="AI278" i="9" s="1"/>
  <c r="AI279" i="9" s="1"/>
  <c r="AI280" i="9" s="1"/>
  <c r="AI281" i="9" s="1"/>
  <c r="AI282" i="9" s="1"/>
  <c r="AI283" i="9" s="1"/>
  <c r="AI284" i="9" s="1"/>
  <c r="AI285" i="9" s="1"/>
  <c r="AI286" i="9" s="1"/>
  <c r="AI287" i="9" s="1"/>
  <c r="AI288" i="9" s="1"/>
  <c r="AI289" i="9" s="1"/>
  <c r="AI290" i="9" s="1"/>
  <c r="AI291" i="9" s="1"/>
  <c r="AI292" i="9" s="1"/>
  <c r="AI293" i="9" s="1"/>
  <c r="AI294" i="9" s="1"/>
  <c r="AI295" i="9" s="1"/>
  <c r="AI296" i="9" s="1"/>
  <c r="AI297" i="9" s="1"/>
  <c r="AI298" i="9" s="1"/>
  <c r="AI299" i="9" s="1"/>
  <c r="AI300" i="9" s="1"/>
  <c r="AI301" i="9" s="1"/>
  <c r="AI302" i="9" s="1"/>
  <c r="AI303" i="9" s="1"/>
  <c r="AI304" i="9" s="1"/>
  <c r="AI305" i="9" s="1"/>
  <c r="AI306" i="9" s="1"/>
  <c r="AI307" i="9" s="1"/>
  <c r="AI308" i="9" s="1"/>
  <c r="AI309" i="9" s="1"/>
  <c r="AI310" i="9" s="1"/>
  <c r="AI311" i="9" s="1"/>
  <c r="AI312" i="9" s="1"/>
  <c r="AI313" i="9" s="1"/>
  <c r="AI314" i="9" s="1"/>
  <c r="AI315" i="9" s="1"/>
  <c r="AI316" i="9" s="1"/>
  <c r="AI317" i="9" s="1"/>
  <c r="AI318" i="9" s="1"/>
  <c r="AI319" i="9" s="1"/>
  <c r="AI320" i="9" s="1"/>
  <c r="AI321" i="9" s="1"/>
  <c r="AI322" i="9" s="1"/>
  <c r="AI323" i="9" s="1"/>
  <c r="AI324" i="9" s="1"/>
  <c r="AI325" i="9" s="1"/>
  <c r="AI326" i="9" s="1"/>
  <c r="AI327" i="9" s="1"/>
  <c r="AI328" i="9" s="1"/>
  <c r="AI329" i="9" s="1"/>
  <c r="AI330" i="9" s="1"/>
  <c r="AI331" i="9" s="1"/>
  <c r="AI332" i="9" s="1"/>
  <c r="AI333" i="9" s="1"/>
  <c r="AI334" i="9" s="1"/>
  <c r="AI335" i="9" s="1"/>
  <c r="AI336" i="9" s="1"/>
  <c r="AI337" i="9" s="1"/>
  <c r="AI338" i="9" s="1"/>
  <c r="AI339" i="9" s="1"/>
  <c r="AI340" i="9" s="1"/>
  <c r="AI341" i="9" s="1"/>
  <c r="AI342" i="9" s="1"/>
  <c r="AI343" i="9" s="1"/>
  <c r="AI344" i="9" s="1"/>
  <c r="AI345" i="9" s="1"/>
  <c r="AI346" i="9" s="1"/>
  <c r="AI347" i="9" s="1"/>
  <c r="AI348" i="9" s="1"/>
  <c r="AI349" i="9" s="1"/>
  <c r="AI350" i="9" s="1"/>
  <c r="AI351" i="9" s="1"/>
  <c r="AI352" i="9" s="1"/>
  <c r="AI353" i="9" s="1"/>
  <c r="AI354" i="9" s="1"/>
  <c r="AI355" i="9" s="1"/>
  <c r="AI356" i="9" s="1"/>
  <c r="AI357" i="9" s="1"/>
  <c r="AI358" i="9" s="1"/>
  <c r="AI359" i="9" s="1"/>
  <c r="AI360" i="9" s="1"/>
  <c r="AI361" i="9" s="1"/>
  <c r="AI362" i="9" s="1"/>
  <c r="AI363" i="9" s="1"/>
  <c r="AI364" i="9" s="1"/>
  <c r="AI365" i="9" s="1"/>
  <c r="AI366" i="9" s="1"/>
  <c r="AI367" i="9" s="1"/>
  <c r="AI368" i="9" s="1"/>
  <c r="AI369" i="9" s="1"/>
  <c r="AI370" i="9" s="1"/>
  <c r="AI371" i="9" s="1"/>
  <c r="AI372" i="9" s="1"/>
  <c r="AI373" i="9" s="1"/>
  <c r="AI374" i="9" s="1"/>
  <c r="AI375" i="9" s="1"/>
  <c r="AI376" i="9" s="1"/>
  <c r="AI377" i="9" s="1"/>
  <c r="AI378" i="9" s="1"/>
  <c r="AI379" i="9" s="1"/>
  <c r="AI380" i="9" s="1"/>
  <c r="AI381" i="9" s="1"/>
  <c r="AI382" i="9" s="1"/>
  <c r="AI383" i="9" s="1"/>
  <c r="AI384" i="9" s="1"/>
  <c r="AI385" i="9" s="1"/>
  <c r="AI386" i="9" s="1"/>
  <c r="AI387" i="9" s="1"/>
  <c r="AI388" i="9" s="1"/>
  <c r="AI389" i="9" s="1"/>
  <c r="AI390" i="9" s="1"/>
  <c r="AI391" i="9" s="1"/>
  <c r="AI392" i="9" s="1"/>
  <c r="AI393" i="9" s="1"/>
  <c r="AI394" i="9" s="1"/>
  <c r="AI395" i="9" s="1"/>
  <c r="AI396" i="9" s="1"/>
  <c r="AI397" i="9" s="1"/>
  <c r="AI398" i="9" s="1"/>
  <c r="AI399" i="9" s="1"/>
  <c r="AI400" i="9" s="1"/>
  <c r="AI401" i="9" s="1"/>
  <c r="AI402" i="9" s="1"/>
  <c r="AI403" i="9" s="1"/>
  <c r="AI404" i="9" s="1"/>
  <c r="AI405" i="9" s="1"/>
  <c r="AI406" i="9" s="1"/>
  <c r="AI407" i="9" s="1"/>
  <c r="AI408" i="9" s="1"/>
  <c r="AI409" i="9" s="1"/>
  <c r="AI410" i="9" s="1"/>
  <c r="AI411" i="9" s="1"/>
  <c r="AI412" i="9" s="1"/>
  <c r="AI413" i="9" s="1"/>
  <c r="AI414" i="9" s="1"/>
  <c r="AI415" i="9" s="1"/>
  <c r="AI416" i="9" s="1"/>
  <c r="AI417" i="9" s="1"/>
  <c r="AI418" i="9" s="1"/>
  <c r="AI419" i="9" s="1"/>
  <c r="AP53" i="9"/>
  <c r="AP54" i="9" s="1"/>
  <c r="AP55" i="9" s="1"/>
  <c r="AP56" i="9" s="1"/>
  <c r="AP57" i="9" s="1"/>
  <c r="AP58" i="9" s="1"/>
  <c r="AP59" i="9" s="1"/>
  <c r="AP60" i="9" s="1"/>
  <c r="AP61" i="9" s="1"/>
  <c r="AP62" i="9" s="1"/>
  <c r="AP63" i="9" s="1"/>
  <c r="AP64" i="9" s="1"/>
  <c r="AP65" i="9" s="1"/>
  <c r="AP66" i="9" s="1"/>
  <c r="AP67" i="9" s="1"/>
  <c r="AP68" i="9" s="1"/>
  <c r="AP69" i="9" s="1"/>
  <c r="AP70" i="9" s="1"/>
  <c r="AP71" i="9" s="1"/>
  <c r="AP72" i="9" s="1"/>
  <c r="AP73" i="9" s="1"/>
  <c r="AP74" i="9" s="1"/>
  <c r="AP75" i="9" s="1"/>
  <c r="AP76" i="9" s="1"/>
  <c r="AP77" i="9" s="1"/>
  <c r="AP78" i="9" s="1"/>
  <c r="AP79" i="9" s="1"/>
  <c r="AP80" i="9" s="1"/>
  <c r="AP81" i="9" s="1"/>
  <c r="AP82" i="9" s="1"/>
  <c r="AP83" i="9" s="1"/>
  <c r="AP84" i="9" s="1"/>
  <c r="AP85" i="9" s="1"/>
  <c r="AP86" i="9" s="1"/>
  <c r="AP87" i="9" s="1"/>
  <c r="AP88" i="9" s="1"/>
  <c r="AP89" i="9" s="1"/>
  <c r="AP90" i="9" s="1"/>
  <c r="AP91" i="9" s="1"/>
  <c r="AP92" i="9" s="1"/>
  <c r="AP93" i="9" s="1"/>
  <c r="AP94" i="9" s="1"/>
  <c r="AP95" i="9" s="1"/>
  <c r="AP96" i="9" s="1"/>
  <c r="AP97" i="9" s="1"/>
  <c r="AP98" i="9" s="1"/>
  <c r="AP99" i="9" s="1"/>
  <c r="AP100" i="9" s="1"/>
  <c r="AP101" i="9" s="1"/>
  <c r="AP102" i="9" s="1"/>
  <c r="AP103" i="9" s="1"/>
  <c r="AP104" i="9" s="1"/>
  <c r="AP105" i="9" s="1"/>
  <c r="AP106" i="9" s="1"/>
  <c r="AP107" i="9" s="1"/>
  <c r="AP108" i="9" s="1"/>
  <c r="AP109" i="9" s="1"/>
  <c r="AP110" i="9" s="1"/>
  <c r="AP111" i="9" s="1"/>
  <c r="AP112" i="9" s="1"/>
  <c r="AP113" i="9" s="1"/>
  <c r="AP114" i="9" s="1"/>
  <c r="AP115" i="9" s="1"/>
  <c r="AP116" i="9" s="1"/>
  <c r="AP117" i="9" s="1"/>
  <c r="AP118" i="9" s="1"/>
  <c r="AP119" i="9" s="1"/>
  <c r="AP120" i="9" s="1"/>
  <c r="AP121" i="9" s="1"/>
  <c r="AP122" i="9" s="1"/>
  <c r="AP123" i="9" s="1"/>
  <c r="AP124" i="9" s="1"/>
  <c r="AP125" i="9" s="1"/>
  <c r="AP126" i="9" s="1"/>
  <c r="AP127" i="9" s="1"/>
  <c r="AP128" i="9" s="1"/>
  <c r="AP129" i="9" s="1"/>
  <c r="AP130" i="9" s="1"/>
  <c r="AP131" i="9" s="1"/>
  <c r="AP132" i="9" s="1"/>
  <c r="AP133" i="9" s="1"/>
  <c r="AP134" i="9" s="1"/>
  <c r="AP135" i="9" s="1"/>
  <c r="AP136" i="9" s="1"/>
  <c r="AP137" i="9" s="1"/>
  <c r="AP138" i="9" s="1"/>
  <c r="AP139" i="9" s="1"/>
  <c r="AP140" i="9" s="1"/>
  <c r="AP141" i="9" s="1"/>
  <c r="AP142" i="9" s="1"/>
  <c r="AP143" i="9" s="1"/>
  <c r="AP144" i="9" s="1"/>
  <c r="AP145" i="9" s="1"/>
  <c r="AP146" i="9" s="1"/>
  <c r="AP147" i="9" s="1"/>
  <c r="AP148" i="9" s="1"/>
  <c r="AP149" i="9" s="1"/>
  <c r="AP150" i="9" s="1"/>
  <c r="AP151" i="9" s="1"/>
  <c r="AP152" i="9" s="1"/>
  <c r="AP153" i="9" s="1"/>
  <c r="AP154" i="9" s="1"/>
  <c r="AP155" i="9" s="1"/>
  <c r="AP156" i="9" s="1"/>
  <c r="AP157" i="9" s="1"/>
  <c r="AP158" i="9" s="1"/>
  <c r="AP159" i="9" s="1"/>
  <c r="AP160" i="9" s="1"/>
  <c r="AP161" i="9" s="1"/>
  <c r="AP162" i="9" s="1"/>
  <c r="AP163" i="9" s="1"/>
  <c r="AP164" i="9" s="1"/>
  <c r="AP165" i="9" s="1"/>
  <c r="AP166" i="9" s="1"/>
  <c r="AP167" i="9" s="1"/>
  <c r="AP168" i="9" s="1"/>
  <c r="AP169" i="9" s="1"/>
  <c r="AP170" i="9" s="1"/>
  <c r="AP171" i="9" s="1"/>
  <c r="AP172" i="9" s="1"/>
  <c r="AP173" i="9" s="1"/>
  <c r="AP174" i="9" s="1"/>
  <c r="AP175" i="9" s="1"/>
  <c r="AP176" i="9" s="1"/>
  <c r="AP177" i="9" s="1"/>
  <c r="AP178" i="9" s="1"/>
  <c r="AP179" i="9" s="1"/>
  <c r="AP180" i="9" s="1"/>
  <c r="AP181" i="9" s="1"/>
  <c r="AP182" i="9" s="1"/>
  <c r="AP183" i="9" s="1"/>
  <c r="AP184" i="9" s="1"/>
  <c r="AP185" i="9" s="1"/>
  <c r="AP186" i="9" s="1"/>
  <c r="AP187" i="9" s="1"/>
  <c r="AP188" i="9" s="1"/>
  <c r="AP189" i="9" s="1"/>
  <c r="AP190" i="9" s="1"/>
  <c r="AP191" i="9" s="1"/>
  <c r="AP192" i="9" s="1"/>
  <c r="AP193" i="9" s="1"/>
  <c r="AP194" i="9" s="1"/>
  <c r="AP195" i="9" s="1"/>
  <c r="AP196" i="9" s="1"/>
  <c r="AP197" i="9" s="1"/>
  <c r="AP198" i="9" s="1"/>
  <c r="AP199" i="9" s="1"/>
  <c r="AP200" i="9" s="1"/>
  <c r="AP201" i="9" s="1"/>
  <c r="AP202" i="9" s="1"/>
  <c r="AP203" i="9" s="1"/>
  <c r="AP204" i="9" s="1"/>
  <c r="AP205" i="9" s="1"/>
  <c r="AP206" i="9" s="1"/>
  <c r="AP207" i="9" s="1"/>
  <c r="AP208" i="9" s="1"/>
  <c r="AP209" i="9" s="1"/>
  <c r="AP210" i="9" s="1"/>
  <c r="AP211" i="9" s="1"/>
  <c r="AP212" i="9" s="1"/>
  <c r="AP213" i="9" s="1"/>
  <c r="AP214" i="9" s="1"/>
  <c r="AP215" i="9" s="1"/>
  <c r="AP216" i="9" s="1"/>
  <c r="AP217" i="9" s="1"/>
  <c r="AP218" i="9" s="1"/>
  <c r="AP219" i="9" s="1"/>
  <c r="AP220" i="9" s="1"/>
  <c r="AP221" i="9" s="1"/>
  <c r="AP222" i="9" s="1"/>
  <c r="AP223" i="9" s="1"/>
  <c r="AP224" i="9" s="1"/>
  <c r="AP225" i="9" s="1"/>
  <c r="AP226" i="9" s="1"/>
  <c r="AP227" i="9" s="1"/>
  <c r="AP228" i="9" s="1"/>
  <c r="AP229" i="9" s="1"/>
  <c r="AP230" i="9" s="1"/>
  <c r="AP231" i="9" s="1"/>
  <c r="AP232" i="9" s="1"/>
  <c r="AP233" i="9" s="1"/>
  <c r="AP234" i="9" s="1"/>
  <c r="AP235" i="9" s="1"/>
  <c r="AP236" i="9" s="1"/>
  <c r="AP237" i="9" s="1"/>
  <c r="AP238" i="9" s="1"/>
  <c r="AP239" i="9" s="1"/>
  <c r="AP240" i="9" s="1"/>
  <c r="AP241" i="9" s="1"/>
  <c r="AP242" i="9" s="1"/>
  <c r="AP243" i="9" s="1"/>
  <c r="AP244" i="9" s="1"/>
  <c r="AP245" i="9" s="1"/>
  <c r="AP246" i="9" s="1"/>
  <c r="AP247" i="9" s="1"/>
  <c r="AP248" i="9" s="1"/>
  <c r="AP249" i="9" s="1"/>
  <c r="AP250" i="9" s="1"/>
  <c r="AP251" i="9" s="1"/>
  <c r="AP252" i="9" s="1"/>
  <c r="AP253" i="9" s="1"/>
  <c r="AP254" i="9" s="1"/>
  <c r="AP255" i="9" s="1"/>
  <c r="AP256" i="9" s="1"/>
  <c r="AP257" i="9" s="1"/>
  <c r="AP258" i="9" s="1"/>
  <c r="AP259" i="9" s="1"/>
  <c r="AP260" i="9" s="1"/>
  <c r="AP261" i="9" s="1"/>
  <c r="AP262" i="9" s="1"/>
  <c r="AP263" i="9" s="1"/>
  <c r="AP264" i="9" s="1"/>
  <c r="AP265" i="9" s="1"/>
  <c r="AP266" i="9" s="1"/>
  <c r="AP267" i="9" s="1"/>
  <c r="AP268" i="9" s="1"/>
  <c r="AP269" i="9" s="1"/>
  <c r="AP270" i="9" s="1"/>
  <c r="AP271" i="9" s="1"/>
  <c r="AP272" i="9" s="1"/>
  <c r="AP273" i="9" s="1"/>
  <c r="AP274" i="9" s="1"/>
  <c r="AP275" i="9" s="1"/>
  <c r="AP276" i="9" s="1"/>
  <c r="AP277" i="9" s="1"/>
  <c r="AP278" i="9" s="1"/>
  <c r="AP279" i="9" s="1"/>
  <c r="AP280" i="9" s="1"/>
  <c r="AP281" i="9" s="1"/>
  <c r="AP282" i="9" s="1"/>
  <c r="AP283" i="9" s="1"/>
  <c r="AP284" i="9" s="1"/>
  <c r="AP285" i="9" s="1"/>
  <c r="AP286" i="9" s="1"/>
  <c r="AP287" i="9" s="1"/>
  <c r="AP288" i="9" s="1"/>
  <c r="AP289" i="9" s="1"/>
  <c r="AP290" i="9" s="1"/>
  <c r="AP291" i="9" s="1"/>
  <c r="AP292" i="9" s="1"/>
  <c r="AP293" i="9" s="1"/>
  <c r="AP294" i="9" s="1"/>
  <c r="AP295" i="9" s="1"/>
  <c r="AP296" i="9" s="1"/>
  <c r="AP297" i="9" s="1"/>
  <c r="AP298" i="9" s="1"/>
  <c r="AP299" i="9" s="1"/>
  <c r="AP300" i="9" s="1"/>
  <c r="AP301" i="9" s="1"/>
  <c r="AP302" i="9" s="1"/>
  <c r="AP303" i="9" s="1"/>
  <c r="AP304" i="9" s="1"/>
  <c r="AP305" i="9" s="1"/>
  <c r="AP306" i="9" s="1"/>
  <c r="AP307" i="9" s="1"/>
  <c r="AP308" i="9" s="1"/>
  <c r="AP309" i="9" s="1"/>
  <c r="AP310" i="9" s="1"/>
  <c r="AP311" i="9" s="1"/>
  <c r="AP312" i="9" s="1"/>
  <c r="AP313" i="9" s="1"/>
  <c r="AP314" i="9" s="1"/>
  <c r="AP315" i="9" s="1"/>
  <c r="AP316" i="9" s="1"/>
  <c r="AP317" i="9" s="1"/>
  <c r="AP318" i="9" s="1"/>
  <c r="AP319" i="9" s="1"/>
  <c r="AP320" i="9" s="1"/>
  <c r="AP321" i="9" s="1"/>
  <c r="AP322" i="9" s="1"/>
  <c r="AP323" i="9" s="1"/>
  <c r="AP324" i="9" s="1"/>
  <c r="AP325" i="9" s="1"/>
  <c r="AP326" i="9" s="1"/>
  <c r="AP327" i="9" s="1"/>
  <c r="AP328" i="9" s="1"/>
  <c r="AP329" i="9" s="1"/>
  <c r="AP330" i="9" s="1"/>
  <c r="AP331" i="9" s="1"/>
  <c r="AP332" i="9" s="1"/>
  <c r="AP333" i="9" s="1"/>
  <c r="AP334" i="9" s="1"/>
  <c r="AP335" i="9" s="1"/>
  <c r="AP336" i="9" s="1"/>
  <c r="AP337" i="9" s="1"/>
  <c r="AP338" i="9" s="1"/>
  <c r="AP339" i="9" s="1"/>
  <c r="AP340" i="9" s="1"/>
  <c r="AP341" i="9" s="1"/>
  <c r="AP342" i="9" s="1"/>
  <c r="AP343" i="9" s="1"/>
  <c r="AP344" i="9" s="1"/>
  <c r="AP345" i="9" s="1"/>
  <c r="AP346" i="9" s="1"/>
  <c r="AP347" i="9" s="1"/>
  <c r="AP348" i="9" s="1"/>
  <c r="AP349" i="9" s="1"/>
  <c r="AP350" i="9" s="1"/>
  <c r="AP351" i="9" s="1"/>
  <c r="AP352" i="9" s="1"/>
  <c r="AP353" i="9" s="1"/>
  <c r="AP354" i="9" s="1"/>
  <c r="AP355" i="9" s="1"/>
  <c r="AP356" i="9" s="1"/>
  <c r="AP357" i="9" s="1"/>
  <c r="AP358" i="9" s="1"/>
  <c r="AP359" i="9" s="1"/>
  <c r="AP360" i="9" s="1"/>
  <c r="AP361" i="9" s="1"/>
  <c r="AP362" i="9" s="1"/>
  <c r="AP363" i="9" s="1"/>
  <c r="AP364" i="9" s="1"/>
  <c r="AP365" i="9" s="1"/>
  <c r="AP366" i="9" s="1"/>
  <c r="AP367" i="9" s="1"/>
  <c r="AP368" i="9" s="1"/>
  <c r="AP369" i="9" s="1"/>
  <c r="AP370" i="9" s="1"/>
  <c r="AP371" i="9" s="1"/>
  <c r="AP372" i="9" s="1"/>
  <c r="AP373" i="9" s="1"/>
  <c r="AP374" i="9" s="1"/>
  <c r="AP375" i="9" s="1"/>
  <c r="AP376" i="9" s="1"/>
  <c r="AP377" i="9" s="1"/>
  <c r="AP378" i="9" s="1"/>
  <c r="AP379" i="9" s="1"/>
  <c r="AP380" i="9" s="1"/>
  <c r="AP381" i="9" s="1"/>
  <c r="AP382" i="9" s="1"/>
  <c r="AP383" i="9" s="1"/>
  <c r="AP384" i="9" s="1"/>
  <c r="AP385" i="9" s="1"/>
  <c r="AP386" i="9" s="1"/>
  <c r="AP387" i="9" s="1"/>
  <c r="AP388" i="9" s="1"/>
  <c r="AP389" i="9" s="1"/>
  <c r="AP390" i="9" s="1"/>
  <c r="AP391" i="9" s="1"/>
  <c r="AP392" i="9" s="1"/>
  <c r="AP393" i="9" s="1"/>
  <c r="AP394" i="9" s="1"/>
  <c r="AP395" i="9" s="1"/>
  <c r="AP396" i="9" s="1"/>
  <c r="AP397" i="9" s="1"/>
  <c r="AP398" i="9" s="1"/>
  <c r="AP399" i="9" s="1"/>
  <c r="AP400" i="9" s="1"/>
  <c r="AP401" i="9" s="1"/>
  <c r="AP402" i="9" s="1"/>
  <c r="AP403" i="9" s="1"/>
  <c r="AP404" i="9" s="1"/>
  <c r="AP405" i="9" s="1"/>
  <c r="AP406" i="9" s="1"/>
  <c r="AP407" i="9" s="1"/>
  <c r="AP408" i="9" s="1"/>
  <c r="AP409" i="9" s="1"/>
  <c r="AP410" i="9" s="1"/>
  <c r="AP411" i="9" s="1"/>
  <c r="AP412" i="9" s="1"/>
  <c r="AP413" i="9" s="1"/>
  <c r="AP414" i="9" s="1"/>
  <c r="AP415" i="9" s="1"/>
  <c r="AP416" i="9" s="1"/>
  <c r="AP417" i="9" s="1"/>
  <c r="AP418" i="9" s="1"/>
  <c r="AP419" i="9" s="1"/>
  <c r="AQ53" i="9"/>
  <c r="AQ54" i="9" s="1"/>
  <c r="AQ55" i="9" s="1"/>
  <c r="AQ56" i="9" s="1"/>
  <c r="AQ57" i="9" s="1"/>
  <c r="AQ58" i="9" s="1"/>
  <c r="AQ59" i="9" s="1"/>
  <c r="AQ60" i="9" s="1"/>
  <c r="AQ61" i="9" s="1"/>
  <c r="AQ62" i="9" s="1"/>
  <c r="AQ63" i="9" s="1"/>
  <c r="AQ64" i="9" s="1"/>
  <c r="AQ65" i="9" s="1"/>
  <c r="AQ66" i="9" s="1"/>
  <c r="AQ67" i="9" s="1"/>
  <c r="AQ68" i="9" s="1"/>
  <c r="AQ69" i="9" s="1"/>
  <c r="AQ70" i="9" s="1"/>
  <c r="AQ71" i="9" s="1"/>
  <c r="AQ72" i="9" s="1"/>
  <c r="AQ73" i="9" s="1"/>
  <c r="AQ74" i="9" s="1"/>
  <c r="AQ75" i="9" s="1"/>
  <c r="AQ76" i="9" s="1"/>
  <c r="AQ77" i="9" s="1"/>
  <c r="AQ78" i="9" s="1"/>
  <c r="AQ79" i="9" s="1"/>
  <c r="AQ80" i="9" s="1"/>
  <c r="AQ81" i="9" s="1"/>
  <c r="AQ82" i="9" s="1"/>
  <c r="AQ83" i="9" s="1"/>
  <c r="AQ84" i="9" s="1"/>
  <c r="AQ85" i="9" s="1"/>
  <c r="AQ86" i="9" s="1"/>
  <c r="AQ87" i="9" s="1"/>
  <c r="AQ88" i="9" s="1"/>
  <c r="AQ89" i="9" s="1"/>
  <c r="AQ90" i="9" s="1"/>
  <c r="AQ91" i="9" s="1"/>
  <c r="AQ92" i="9" s="1"/>
  <c r="AQ93" i="9" s="1"/>
  <c r="AQ94" i="9" s="1"/>
  <c r="AQ95" i="9" s="1"/>
  <c r="AQ96" i="9" s="1"/>
  <c r="AQ97" i="9" s="1"/>
  <c r="AQ98" i="9" s="1"/>
  <c r="AQ99" i="9" s="1"/>
  <c r="AQ100" i="9" s="1"/>
  <c r="AQ101" i="9" s="1"/>
  <c r="AQ102" i="9" s="1"/>
  <c r="AQ103" i="9" s="1"/>
  <c r="AQ104" i="9" s="1"/>
  <c r="AQ105" i="9" s="1"/>
  <c r="AQ106" i="9" s="1"/>
  <c r="AQ107" i="9" s="1"/>
  <c r="AQ108" i="9" s="1"/>
  <c r="AQ109" i="9" s="1"/>
  <c r="AQ110" i="9" s="1"/>
  <c r="AQ111" i="9" s="1"/>
  <c r="AQ112" i="9" s="1"/>
  <c r="AQ113" i="9" s="1"/>
  <c r="AQ114" i="9" s="1"/>
  <c r="AQ115" i="9" s="1"/>
  <c r="AQ116" i="9" s="1"/>
  <c r="AQ117" i="9" s="1"/>
  <c r="AQ118" i="9" s="1"/>
  <c r="AQ119" i="9" s="1"/>
  <c r="AQ120" i="9" s="1"/>
  <c r="AQ121" i="9" s="1"/>
  <c r="AQ122" i="9" s="1"/>
  <c r="AQ123" i="9" s="1"/>
  <c r="AQ124" i="9" s="1"/>
  <c r="AQ125" i="9" s="1"/>
  <c r="AQ126" i="9" s="1"/>
  <c r="AQ127" i="9" s="1"/>
  <c r="AQ128" i="9" s="1"/>
  <c r="AQ129" i="9" s="1"/>
  <c r="AQ130" i="9" s="1"/>
  <c r="AQ131" i="9" s="1"/>
  <c r="AQ132" i="9" s="1"/>
  <c r="AQ133" i="9" s="1"/>
  <c r="AQ134" i="9" s="1"/>
  <c r="AQ135" i="9" s="1"/>
  <c r="AQ136" i="9" s="1"/>
  <c r="AQ137" i="9" s="1"/>
  <c r="AQ138" i="9" s="1"/>
  <c r="AQ139" i="9" s="1"/>
  <c r="AQ140" i="9" s="1"/>
  <c r="AQ141" i="9" s="1"/>
  <c r="AQ142" i="9" s="1"/>
  <c r="AQ143" i="9" s="1"/>
  <c r="AQ144" i="9" s="1"/>
  <c r="AQ145" i="9" s="1"/>
  <c r="AQ146" i="9" s="1"/>
  <c r="AQ147" i="9" s="1"/>
  <c r="AQ148" i="9" s="1"/>
  <c r="AQ149" i="9" s="1"/>
  <c r="AQ150" i="9" s="1"/>
  <c r="AQ151" i="9" s="1"/>
  <c r="AQ152" i="9" s="1"/>
  <c r="AQ153" i="9" s="1"/>
  <c r="AQ154" i="9" s="1"/>
  <c r="AQ155" i="9" s="1"/>
  <c r="AQ156" i="9" s="1"/>
  <c r="AQ157" i="9" s="1"/>
  <c r="AQ158" i="9" s="1"/>
  <c r="AQ159" i="9" s="1"/>
  <c r="AQ160" i="9" s="1"/>
  <c r="AQ161" i="9" s="1"/>
  <c r="AQ162" i="9" s="1"/>
  <c r="AQ163" i="9" s="1"/>
  <c r="AQ164" i="9" s="1"/>
  <c r="AQ165" i="9" s="1"/>
  <c r="AQ166" i="9" s="1"/>
  <c r="AQ167" i="9" s="1"/>
  <c r="AQ168" i="9" s="1"/>
  <c r="AQ169" i="9" s="1"/>
  <c r="AQ170" i="9" s="1"/>
  <c r="AQ171" i="9" s="1"/>
  <c r="AQ172" i="9" s="1"/>
  <c r="AQ173" i="9" s="1"/>
  <c r="AQ174" i="9" s="1"/>
  <c r="AQ175" i="9" s="1"/>
  <c r="AQ176" i="9" s="1"/>
  <c r="AQ177" i="9" s="1"/>
  <c r="AQ178" i="9" s="1"/>
  <c r="AQ179" i="9" s="1"/>
  <c r="AQ180" i="9" s="1"/>
  <c r="AQ181" i="9" s="1"/>
  <c r="AQ182" i="9" s="1"/>
  <c r="AQ183" i="9" s="1"/>
  <c r="AQ184" i="9" s="1"/>
  <c r="AQ185" i="9" s="1"/>
  <c r="AQ186" i="9" s="1"/>
  <c r="AQ187" i="9" s="1"/>
  <c r="AQ188" i="9" s="1"/>
  <c r="AQ189" i="9" s="1"/>
  <c r="AQ190" i="9" s="1"/>
  <c r="AQ191" i="9" s="1"/>
  <c r="AQ192" i="9" s="1"/>
  <c r="AQ193" i="9" s="1"/>
  <c r="AQ194" i="9" s="1"/>
  <c r="AQ195" i="9" s="1"/>
  <c r="AQ196" i="9" s="1"/>
  <c r="AQ197" i="9" s="1"/>
  <c r="AQ198" i="9" s="1"/>
  <c r="AQ199" i="9" s="1"/>
  <c r="AQ200" i="9" s="1"/>
  <c r="AQ201" i="9" s="1"/>
  <c r="AQ202" i="9" s="1"/>
  <c r="AQ203" i="9" s="1"/>
  <c r="AQ204" i="9" s="1"/>
  <c r="AQ205" i="9" s="1"/>
  <c r="AQ206" i="9" s="1"/>
  <c r="AQ207" i="9" s="1"/>
  <c r="AQ208" i="9" s="1"/>
  <c r="AQ209" i="9" s="1"/>
  <c r="AQ210" i="9" s="1"/>
  <c r="AQ211" i="9" s="1"/>
  <c r="AQ212" i="9" s="1"/>
  <c r="AQ213" i="9" s="1"/>
  <c r="AQ214" i="9" s="1"/>
  <c r="AQ215" i="9" s="1"/>
  <c r="AQ216" i="9" s="1"/>
  <c r="AQ217" i="9" s="1"/>
  <c r="AQ218" i="9" s="1"/>
  <c r="AQ219" i="9" s="1"/>
  <c r="AQ220" i="9" s="1"/>
  <c r="AQ221" i="9" s="1"/>
  <c r="AQ222" i="9" s="1"/>
  <c r="AQ223" i="9" s="1"/>
  <c r="AQ224" i="9" s="1"/>
  <c r="AQ225" i="9" s="1"/>
  <c r="AQ226" i="9" s="1"/>
  <c r="AQ227" i="9" s="1"/>
  <c r="AQ228" i="9" s="1"/>
  <c r="AQ229" i="9" s="1"/>
  <c r="AQ230" i="9" s="1"/>
  <c r="AQ231" i="9" s="1"/>
  <c r="AQ232" i="9" s="1"/>
  <c r="AQ233" i="9" s="1"/>
  <c r="AQ234" i="9" s="1"/>
  <c r="AQ235" i="9" s="1"/>
  <c r="AQ236" i="9" s="1"/>
  <c r="AQ237" i="9" s="1"/>
  <c r="AQ238" i="9" s="1"/>
  <c r="AQ239" i="9" s="1"/>
  <c r="AQ240" i="9" s="1"/>
  <c r="AQ241" i="9" s="1"/>
  <c r="AQ242" i="9" s="1"/>
  <c r="AQ243" i="9" s="1"/>
  <c r="AQ244" i="9" s="1"/>
  <c r="AQ245" i="9" s="1"/>
  <c r="AQ246" i="9" s="1"/>
  <c r="AQ247" i="9" s="1"/>
  <c r="AQ248" i="9" s="1"/>
  <c r="AQ249" i="9" s="1"/>
  <c r="AQ250" i="9" s="1"/>
  <c r="AQ251" i="9" s="1"/>
  <c r="AQ252" i="9" s="1"/>
  <c r="AQ253" i="9" s="1"/>
  <c r="AQ254" i="9" s="1"/>
  <c r="AQ255" i="9" s="1"/>
  <c r="AQ256" i="9" s="1"/>
  <c r="AQ257" i="9" s="1"/>
  <c r="AQ258" i="9" s="1"/>
  <c r="AQ259" i="9" s="1"/>
  <c r="AQ260" i="9" s="1"/>
  <c r="AQ261" i="9" s="1"/>
  <c r="AQ262" i="9" s="1"/>
  <c r="AQ263" i="9" s="1"/>
  <c r="AQ264" i="9" s="1"/>
  <c r="AQ265" i="9" s="1"/>
  <c r="AQ266" i="9" s="1"/>
  <c r="AQ267" i="9" s="1"/>
  <c r="AQ268" i="9" s="1"/>
  <c r="AQ269" i="9" s="1"/>
  <c r="AQ270" i="9" s="1"/>
  <c r="AQ271" i="9" s="1"/>
  <c r="AQ272" i="9" s="1"/>
  <c r="AQ273" i="9" s="1"/>
  <c r="AQ274" i="9" s="1"/>
  <c r="AQ275" i="9" s="1"/>
  <c r="AQ276" i="9" s="1"/>
  <c r="AQ277" i="9" s="1"/>
  <c r="AQ278" i="9" s="1"/>
  <c r="AQ279" i="9" s="1"/>
  <c r="AQ280" i="9" s="1"/>
  <c r="AQ281" i="9" s="1"/>
  <c r="AQ282" i="9" s="1"/>
  <c r="AQ283" i="9" s="1"/>
  <c r="AQ284" i="9" s="1"/>
  <c r="AQ285" i="9" s="1"/>
  <c r="AQ286" i="9" s="1"/>
  <c r="AQ287" i="9" s="1"/>
  <c r="AQ288" i="9" s="1"/>
  <c r="AQ289" i="9" s="1"/>
  <c r="AQ290" i="9" s="1"/>
  <c r="AQ291" i="9" s="1"/>
  <c r="AQ292" i="9" s="1"/>
  <c r="AQ293" i="9" s="1"/>
  <c r="AQ294" i="9" s="1"/>
  <c r="AQ295" i="9" s="1"/>
  <c r="AQ296" i="9" s="1"/>
  <c r="AQ297" i="9" s="1"/>
  <c r="AQ298" i="9" s="1"/>
  <c r="AQ299" i="9" s="1"/>
  <c r="AQ300" i="9" s="1"/>
  <c r="AQ301" i="9" s="1"/>
  <c r="AQ302" i="9" s="1"/>
  <c r="AQ303" i="9" s="1"/>
  <c r="AQ304" i="9" s="1"/>
  <c r="AQ305" i="9" s="1"/>
  <c r="AQ306" i="9" s="1"/>
  <c r="AQ307" i="9" s="1"/>
  <c r="AQ308" i="9" s="1"/>
  <c r="AQ309" i="9" s="1"/>
  <c r="AQ310" i="9" s="1"/>
  <c r="AQ311" i="9" s="1"/>
  <c r="AQ312" i="9" s="1"/>
  <c r="AQ313" i="9" s="1"/>
  <c r="AQ314" i="9" s="1"/>
  <c r="AQ315" i="9" s="1"/>
  <c r="AQ316" i="9" s="1"/>
  <c r="AQ317" i="9" s="1"/>
  <c r="AQ318" i="9" s="1"/>
  <c r="AQ319" i="9" s="1"/>
  <c r="AQ320" i="9" s="1"/>
  <c r="AQ321" i="9" s="1"/>
  <c r="AQ322" i="9" s="1"/>
  <c r="AQ323" i="9" s="1"/>
  <c r="AQ324" i="9" s="1"/>
  <c r="AQ325" i="9" s="1"/>
  <c r="AQ326" i="9" s="1"/>
  <c r="AQ327" i="9" s="1"/>
  <c r="AQ328" i="9" s="1"/>
  <c r="AQ329" i="9" s="1"/>
  <c r="AQ330" i="9" s="1"/>
  <c r="AQ331" i="9" s="1"/>
  <c r="AQ332" i="9" s="1"/>
  <c r="AQ333" i="9" s="1"/>
  <c r="AQ334" i="9" s="1"/>
  <c r="AQ335" i="9" s="1"/>
  <c r="AQ336" i="9" s="1"/>
  <c r="AQ337" i="9" s="1"/>
  <c r="AQ338" i="9" s="1"/>
  <c r="AQ339" i="9" s="1"/>
  <c r="AQ340" i="9" s="1"/>
  <c r="AQ341" i="9" s="1"/>
  <c r="AQ342" i="9" s="1"/>
  <c r="AQ343" i="9" s="1"/>
  <c r="AQ344" i="9" s="1"/>
  <c r="AQ345" i="9" s="1"/>
  <c r="AQ346" i="9" s="1"/>
  <c r="AQ347" i="9" s="1"/>
  <c r="AQ348" i="9" s="1"/>
  <c r="AQ349" i="9" s="1"/>
  <c r="AQ350" i="9" s="1"/>
  <c r="AQ351" i="9" s="1"/>
  <c r="AQ352" i="9" s="1"/>
  <c r="AQ353" i="9" s="1"/>
  <c r="AQ354" i="9" s="1"/>
  <c r="AQ355" i="9" s="1"/>
  <c r="AQ356" i="9" s="1"/>
  <c r="AQ357" i="9" s="1"/>
  <c r="AQ358" i="9" s="1"/>
  <c r="AQ359" i="9" s="1"/>
  <c r="AQ360" i="9" s="1"/>
  <c r="AQ361" i="9" s="1"/>
  <c r="AQ362" i="9" s="1"/>
  <c r="AQ363" i="9" s="1"/>
  <c r="AQ364" i="9" s="1"/>
  <c r="AQ365" i="9" s="1"/>
  <c r="AQ366" i="9" s="1"/>
  <c r="AQ367" i="9" s="1"/>
  <c r="AQ368" i="9" s="1"/>
  <c r="AQ369" i="9" s="1"/>
  <c r="AQ370" i="9" s="1"/>
  <c r="AQ371" i="9" s="1"/>
  <c r="AQ372" i="9" s="1"/>
  <c r="AQ373" i="9" s="1"/>
  <c r="AQ374" i="9" s="1"/>
  <c r="AQ375" i="9" s="1"/>
  <c r="AQ376" i="9" s="1"/>
  <c r="AQ377" i="9" s="1"/>
  <c r="AQ378" i="9" s="1"/>
  <c r="AQ379" i="9" s="1"/>
  <c r="AQ380" i="9" s="1"/>
  <c r="AQ381" i="9" s="1"/>
  <c r="AQ382" i="9" s="1"/>
  <c r="AQ383" i="9" s="1"/>
  <c r="AQ384" i="9" s="1"/>
  <c r="AQ385" i="9" s="1"/>
  <c r="AQ386" i="9" s="1"/>
  <c r="AQ387" i="9" s="1"/>
  <c r="AQ388" i="9" s="1"/>
  <c r="AQ389" i="9" s="1"/>
  <c r="AQ390" i="9" s="1"/>
  <c r="AQ391" i="9" s="1"/>
  <c r="AQ392" i="9" s="1"/>
  <c r="AQ393" i="9" s="1"/>
  <c r="AQ394" i="9" s="1"/>
  <c r="AQ395" i="9" s="1"/>
  <c r="AQ396" i="9" s="1"/>
  <c r="AQ397" i="9" s="1"/>
  <c r="AQ398" i="9" s="1"/>
  <c r="AQ399" i="9" s="1"/>
  <c r="AQ400" i="9" s="1"/>
  <c r="AQ401" i="9" s="1"/>
  <c r="AQ402" i="9" s="1"/>
  <c r="AQ403" i="9" s="1"/>
  <c r="AQ404" i="9" s="1"/>
  <c r="AQ405" i="9" s="1"/>
  <c r="AQ406" i="9" s="1"/>
  <c r="AQ407" i="9" s="1"/>
  <c r="AQ408" i="9" s="1"/>
  <c r="AQ409" i="9" s="1"/>
  <c r="AQ410" i="9" s="1"/>
  <c r="AQ411" i="9" s="1"/>
  <c r="AQ412" i="9" s="1"/>
  <c r="AQ413" i="9" s="1"/>
  <c r="AQ414" i="9" s="1"/>
  <c r="AQ415" i="9" s="1"/>
  <c r="AQ416" i="9" s="1"/>
  <c r="AQ417" i="9" s="1"/>
  <c r="AQ418" i="9" s="1"/>
  <c r="AQ419" i="9" s="1"/>
  <c r="G153" i="9"/>
  <c r="G154" i="9" s="1"/>
  <c r="G155" i="9" s="1"/>
  <c r="G156" i="9" s="1"/>
  <c r="G157" i="9" s="1"/>
  <c r="AC24" i="9"/>
  <c r="V8" i="9"/>
  <c r="D8" i="9"/>
  <c r="E8" i="9"/>
  <c r="G158" i="9" l="1"/>
  <c r="G159" i="9" s="1"/>
  <c r="G160" i="9" s="1"/>
  <c r="G161" i="9" s="1"/>
  <c r="G162" i="9" s="1"/>
  <c r="F8" i="9"/>
  <c r="B9" i="9"/>
  <c r="V9" i="9"/>
  <c r="AC25" i="9"/>
  <c r="D9" i="9" l="1"/>
  <c r="E9" i="9"/>
  <c r="V10" i="9"/>
  <c r="G163" i="9"/>
  <c r="G164" i="9" s="1"/>
  <c r="G165" i="9" s="1"/>
  <c r="G166" i="9" s="1"/>
  <c r="G167" i="9" s="1"/>
  <c r="G168" i="9" s="1"/>
  <c r="G169" i="9" s="1"/>
  <c r="G170" i="9" l="1"/>
  <c r="G171" i="9" s="1"/>
  <c r="G172" i="9" s="1"/>
  <c r="G173" i="9" s="1"/>
  <c r="G174" i="9" s="1"/>
  <c r="B10" i="9"/>
  <c r="F9" i="9"/>
  <c r="D10" i="9" l="1"/>
  <c r="E10" i="9"/>
  <c r="G175" i="9"/>
  <c r="G176" i="9" s="1"/>
  <c r="G177" i="9" s="1"/>
  <c r="G178" i="9" s="1"/>
  <c r="G179" i="9" s="1"/>
  <c r="V12" i="9"/>
  <c r="B11" i="9" l="1"/>
  <c r="V11" i="9" s="1"/>
  <c r="F10" i="9"/>
  <c r="V13" i="9"/>
  <c r="G180" i="9"/>
  <c r="G181" i="9" s="1"/>
  <c r="G182" i="9" s="1"/>
  <c r="G183" i="9" s="1"/>
  <c r="G184" i="9" s="1"/>
  <c r="D11" i="9" l="1"/>
  <c r="E11" i="9"/>
  <c r="V14" i="9"/>
  <c r="G185" i="9"/>
  <c r="G186" i="9" s="1"/>
  <c r="G187" i="9" s="1"/>
  <c r="G188" i="9" s="1"/>
  <c r="G189" i="9" s="1"/>
  <c r="G190" i="9" s="1"/>
  <c r="G191" i="9" s="1"/>
  <c r="B12" i="9" l="1"/>
  <c r="F11" i="9"/>
  <c r="V15" i="9"/>
  <c r="G192" i="9"/>
  <c r="G193" i="9" s="1"/>
  <c r="G194" i="9" s="1"/>
  <c r="G195" i="9" s="1"/>
  <c r="G196" i="9" s="1"/>
  <c r="V16" i="9" l="1"/>
  <c r="G197" i="9"/>
  <c r="G198" i="9" s="1"/>
  <c r="G199" i="9" s="1"/>
  <c r="G200" i="9" s="1"/>
  <c r="G201" i="9" s="1"/>
  <c r="D12" i="9"/>
  <c r="E12" i="9"/>
  <c r="G202" i="9" l="1"/>
  <c r="G203" i="9" s="1"/>
  <c r="G204" i="9" s="1"/>
  <c r="G205" i="9" s="1"/>
  <c r="G206" i="9" s="1"/>
  <c r="F12" i="9"/>
  <c r="B13" i="9"/>
  <c r="V17" i="9"/>
  <c r="V18" i="9" l="1"/>
  <c r="G207" i="9"/>
  <c r="G208" i="9" s="1"/>
  <c r="G209" i="9" s="1"/>
  <c r="G210" i="9" s="1"/>
  <c r="G211" i="9" s="1"/>
  <c r="G212" i="9" s="1"/>
  <c r="G213" i="9" s="1"/>
  <c r="D13" i="9"/>
  <c r="X13" i="9"/>
  <c r="X14" i="9" s="1"/>
  <c r="X15" i="9" s="1"/>
  <c r="X16" i="9" s="1"/>
  <c r="X17" i="9" s="1"/>
  <c r="X18" i="9" s="1"/>
  <c r="X19" i="9" s="1"/>
  <c r="X20" i="9" s="1"/>
  <c r="X21" i="9" s="1"/>
  <c r="X22" i="9" s="1"/>
  <c r="X23" i="9" s="1"/>
  <c r="X24" i="9" s="1"/>
  <c r="X25" i="9" s="1"/>
  <c r="X26" i="9" s="1"/>
  <c r="X27" i="9" s="1"/>
  <c r="X28" i="9" s="1"/>
  <c r="X29" i="9" s="1"/>
  <c r="X30" i="9" s="1"/>
  <c r="X31" i="9" s="1"/>
  <c r="X32" i="9" s="1"/>
  <c r="X33" i="9" s="1"/>
  <c r="X34" i="9" s="1"/>
  <c r="X35" i="9" s="1"/>
  <c r="X36" i="9" s="1"/>
  <c r="X37" i="9" s="1"/>
  <c r="X38" i="9" s="1"/>
  <c r="X39" i="9" s="1"/>
  <c r="X40" i="9" s="1"/>
  <c r="X41" i="9" s="1"/>
  <c r="X42" i="9" s="1"/>
  <c r="X43" i="9" s="1"/>
  <c r="X44" i="9" s="1"/>
  <c r="X45" i="9" s="1"/>
  <c r="X46" i="9" s="1"/>
  <c r="X47" i="9" s="1"/>
  <c r="X48" i="9" s="1"/>
  <c r="X49" i="9" s="1"/>
  <c r="X50" i="9" s="1"/>
  <c r="X51" i="9" s="1"/>
  <c r="X52" i="9" s="1"/>
  <c r="X53" i="9" s="1"/>
  <c r="X54" i="9" s="1"/>
  <c r="X55" i="9" s="1"/>
  <c r="E13" i="9"/>
  <c r="G214" i="9" l="1"/>
  <c r="G215" i="9" s="1"/>
  <c r="G216" i="9" s="1"/>
  <c r="G217" i="9" s="1"/>
  <c r="G218" i="9" s="1"/>
  <c r="F13" i="9"/>
  <c r="B14" i="9"/>
  <c r="G219" i="9" l="1"/>
  <c r="G220" i="9" s="1"/>
  <c r="G221" i="9" s="1"/>
  <c r="G222" i="9" s="1"/>
  <c r="G223" i="9" s="1"/>
  <c r="D14" i="9"/>
  <c r="E14" i="9"/>
  <c r="F14" i="9" l="1"/>
  <c r="B15" i="9"/>
  <c r="G224" i="9"/>
  <c r="G225" i="9" s="1"/>
  <c r="G226" i="9" s="1"/>
  <c r="G227" i="9" s="1"/>
  <c r="G228" i="9" s="1"/>
  <c r="D15" i="9" l="1"/>
  <c r="E15" i="9"/>
  <c r="G229" i="9"/>
  <c r="G230" i="9" s="1"/>
  <c r="G231" i="9" s="1"/>
  <c r="G232" i="9" s="1"/>
  <c r="G233" i="9" s="1"/>
  <c r="G234" i="9" s="1"/>
  <c r="G235" i="9" l="1"/>
  <c r="G236" i="9" s="1"/>
  <c r="G237" i="9" s="1"/>
  <c r="G238" i="9" s="1"/>
  <c r="G239" i="9" s="1"/>
  <c r="F15" i="9"/>
  <c r="B16" i="9"/>
  <c r="D16" i="9" l="1"/>
  <c r="E16" i="9"/>
  <c r="G240" i="9"/>
  <c r="G241" i="9" s="1"/>
  <c r="G242" i="9" s="1"/>
  <c r="G243" i="9" s="1"/>
  <c r="G244" i="9" s="1"/>
  <c r="G245" i="9" l="1"/>
  <c r="G246" i="9" s="1"/>
  <c r="G247" i="9" s="1"/>
  <c r="G248" i="9" s="1"/>
  <c r="G249" i="9" s="1"/>
  <c r="F16" i="9"/>
  <c r="B17" i="9"/>
  <c r="G250" i="9" l="1"/>
  <c r="G251" i="9" s="1"/>
  <c r="G252" i="9" s="1"/>
  <c r="G253" i="9" s="1"/>
  <c r="G254" i="9" s="1"/>
  <c r="G255" i="9" s="1"/>
  <c r="D17" i="9"/>
  <c r="E17" i="9"/>
  <c r="F17" i="9" l="1"/>
  <c r="B18" i="9"/>
  <c r="G256" i="9"/>
  <c r="G257" i="9" s="1"/>
  <c r="G258" i="9" s="1"/>
  <c r="G259" i="9" s="1"/>
  <c r="G260" i="9" s="1"/>
  <c r="G261" i="9" l="1"/>
  <c r="G262" i="9" s="1"/>
  <c r="G263" i="9" s="1"/>
  <c r="G264" i="9" s="1"/>
  <c r="G265" i="9" s="1"/>
  <c r="D18" i="9"/>
  <c r="E18" i="9"/>
  <c r="G266" i="9" l="1"/>
  <c r="G267" i="9" s="1"/>
  <c r="G268" i="9" s="1"/>
  <c r="G269" i="9" s="1"/>
  <c r="G270" i="9" s="1"/>
  <c r="F18" i="9"/>
  <c r="B19" i="9"/>
  <c r="D19" i="9" l="1"/>
  <c r="V19" i="9"/>
  <c r="V20" i="9" s="1"/>
  <c r="V21" i="9" s="1"/>
  <c r="V22" i="9" s="1"/>
  <c r="V23" i="9" s="1"/>
  <c r="V24" i="9" s="1"/>
  <c r="V25" i="9" s="1"/>
  <c r="V26" i="9" s="1"/>
  <c r="W19" i="9"/>
  <c r="W20" i="9" s="1"/>
  <c r="W21" i="9" s="1"/>
  <c r="W22" i="9" s="1"/>
  <c r="W23" i="9" s="1"/>
  <c r="W24" i="9" s="1"/>
  <c r="W25" i="9" s="1"/>
  <c r="W26" i="9" s="1"/>
  <c r="W27" i="9" s="1"/>
  <c r="W28" i="9" s="1"/>
  <c r="W29" i="9" s="1"/>
  <c r="W30" i="9" s="1"/>
  <c r="W31" i="9" s="1"/>
  <c r="W32" i="9" s="1"/>
  <c r="W33" i="9" s="1"/>
  <c r="E19" i="9"/>
  <c r="G271" i="9"/>
  <c r="G272" i="9" s="1"/>
  <c r="G273" i="9" s="1"/>
  <c r="G274" i="9" s="1"/>
  <c r="G275" i="9" s="1"/>
  <c r="G276" i="9" s="1"/>
  <c r="V27" i="9" l="1"/>
  <c r="V28" i="9" s="1"/>
  <c r="V29" i="9" s="1"/>
  <c r="V30" i="9" s="1"/>
  <c r="V31" i="9" s="1"/>
  <c r="V32" i="9" s="1"/>
  <c r="V33" i="9" s="1"/>
  <c r="V34" i="9" s="1"/>
  <c r="V35" i="9" s="1"/>
  <c r="V36" i="9" s="1"/>
  <c r="AC26" i="9"/>
  <c r="AC27" i="9" s="1"/>
  <c r="AC28" i="9" s="1"/>
  <c r="AC29" i="9" s="1"/>
  <c r="AC30" i="9" s="1"/>
  <c r="AC31" i="9" s="1"/>
  <c r="AC32" i="9" s="1"/>
  <c r="W34" i="9"/>
  <c r="W35" i="9" s="1"/>
  <c r="W36" i="9" s="1"/>
  <c r="W37" i="9" s="1"/>
  <c r="G277" i="9"/>
  <c r="G278" i="9" s="1"/>
  <c r="G279" i="9" s="1"/>
  <c r="G280" i="9" s="1"/>
  <c r="G281" i="9" s="1"/>
  <c r="F19" i="9"/>
  <c r="B20" i="9"/>
  <c r="AC33" i="9" l="1"/>
  <c r="AC34" i="9" s="1"/>
  <c r="AC35" i="9" s="1"/>
  <c r="AC36" i="9" s="1"/>
  <c r="AC37" i="9" s="1"/>
  <c r="AC38" i="9" s="1"/>
  <c r="AC39" i="9" s="1"/>
  <c r="AC40" i="9" s="1"/>
  <c r="AC41" i="9" s="1"/>
  <c r="AC42" i="9" s="1"/>
  <c r="AC43" i="9" s="1"/>
  <c r="AC44" i="9" s="1"/>
  <c r="AC45" i="9" s="1"/>
  <c r="AC46" i="9" s="1"/>
  <c r="AC47" i="9" s="1"/>
  <c r="AC48" i="9" s="1"/>
  <c r="AC49" i="9" s="1"/>
  <c r="AC50" i="9" s="1"/>
  <c r="AC51" i="9" s="1"/>
  <c r="AC52" i="9" s="1"/>
  <c r="AC53" i="9" s="1"/>
  <c r="AC54" i="9" s="1"/>
  <c r="AC55" i="9" s="1"/>
  <c r="AC56" i="9" s="1"/>
  <c r="AC57" i="9" s="1"/>
  <c r="AC58" i="9" s="1"/>
  <c r="AC59" i="9" s="1"/>
  <c r="AC60" i="9" s="1"/>
  <c r="AC61" i="9" s="1"/>
  <c r="AC62" i="9" s="1"/>
  <c r="AC63" i="9" s="1"/>
  <c r="AC64" i="9" s="1"/>
  <c r="AC65" i="9" s="1"/>
  <c r="AC66" i="9" s="1"/>
  <c r="AC67" i="9" s="1"/>
  <c r="AC68" i="9" s="1"/>
  <c r="AC69" i="9" s="1"/>
  <c r="AC70" i="9" s="1"/>
  <c r="AC71" i="9" s="1"/>
  <c r="AC72" i="9" s="1"/>
  <c r="AC73" i="9" s="1"/>
  <c r="AC74" i="9" s="1"/>
  <c r="AC75" i="9" s="1"/>
  <c r="AC76" i="9" s="1"/>
  <c r="AC77" i="9" s="1"/>
  <c r="AC78" i="9" s="1"/>
  <c r="AC79" i="9" s="1"/>
  <c r="AC80" i="9" s="1"/>
  <c r="AC81" i="9" s="1"/>
  <c r="AC82" i="9" s="1"/>
  <c r="AC83" i="9" s="1"/>
  <c r="AC84" i="9" s="1"/>
  <c r="AC85" i="9" s="1"/>
  <c r="W38" i="9"/>
  <c r="W39" i="9" s="1"/>
  <c r="W40" i="9" s="1"/>
  <c r="W41" i="9" s="1"/>
  <c r="W42" i="9" s="1"/>
  <c r="W43" i="9" s="1"/>
  <c r="AD37" i="9"/>
  <c r="AD38" i="9" s="1"/>
  <c r="AD39" i="9" s="1"/>
  <c r="AD40" i="9" s="1"/>
  <c r="AD41" i="9" s="1"/>
  <c r="AD42" i="9" s="1"/>
  <c r="G282" i="9"/>
  <c r="G283" i="9" s="1"/>
  <c r="G284" i="9" s="1"/>
  <c r="G285" i="9" s="1"/>
  <c r="G286" i="9" s="1"/>
  <c r="D20" i="9"/>
  <c r="E20" i="9"/>
  <c r="AD43" i="9" l="1"/>
  <c r="AD44" i="9" s="1"/>
  <c r="AD45" i="9" s="1"/>
  <c r="AD46" i="9" s="1"/>
  <c r="AD47" i="9" s="1"/>
  <c r="AD48" i="9" s="1"/>
  <c r="AD49" i="9" s="1"/>
  <c r="AD50" i="9" s="1"/>
  <c r="AD51" i="9" s="1"/>
  <c r="AD52" i="9" s="1"/>
  <c r="AD53" i="9" s="1"/>
  <c r="AD54" i="9" s="1"/>
  <c r="AD55" i="9" s="1"/>
  <c r="AD56" i="9" s="1"/>
  <c r="AD57" i="9" s="1"/>
  <c r="AD58" i="9" s="1"/>
  <c r="AD59" i="9" s="1"/>
  <c r="AD60" i="9" s="1"/>
  <c r="AD61" i="9" s="1"/>
  <c r="AD62" i="9" s="1"/>
  <c r="AD63" i="9" s="1"/>
  <c r="AD64" i="9" s="1"/>
  <c r="AD65" i="9" s="1"/>
  <c r="AD66" i="9" s="1"/>
  <c r="AD67" i="9" s="1"/>
  <c r="AD68" i="9" s="1"/>
  <c r="AD69" i="9" s="1"/>
  <c r="AD70" i="9" s="1"/>
  <c r="AD71" i="9" s="1"/>
  <c r="AD72" i="9" s="1"/>
  <c r="AD73" i="9" s="1"/>
  <c r="AD74" i="9" s="1"/>
  <c r="AD75" i="9" s="1"/>
  <c r="AD76" i="9" s="1"/>
  <c r="AD77" i="9" s="1"/>
  <c r="AD78" i="9" s="1"/>
  <c r="AD79" i="9" s="1"/>
  <c r="AD80" i="9" s="1"/>
  <c r="AD81" i="9" s="1"/>
  <c r="AD82" i="9" s="1"/>
  <c r="AD83" i="9" s="1"/>
  <c r="AD84" i="9" s="1"/>
  <c r="AD85" i="9" s="1"/>
  <c r="AD86" i="9" s="1"/>
  <c r="AD87" i="9" s="1"/>
  <c r="AD88" i="9" s="1"/>
  <c r="AD89" i="9" s="1"/>
  <c r="AD90" i="9" s="1"/>
  <c r="AD91" i="9" s="1"/>
  <c r="AD92" i="9" s="1"/>
  <c r="AD93" i="9" s="1"/>
  <c r="AD94" i="9" s="1"/>
  <c r="AD95" i="9" s="1"/>
  <c r="B21" i="9"/>
  <c r="F20" i="9"/>
  <c r="G287" i="9"/>
  <c r="G288" i="9" s="1"/>
  <c r="G289" i="9" s="1"/>
  <c r="G290" i="9" s="1"/>
  <c r="G291" i="9" s="1"/>
  <c r="D21" i="9" l="1"/>
  <c r="E21" i="9"/>
  <c r="G292" i="9"/>
  <c r="G293" i="9" s="1"/>
  <c r="G294" i="9" s="1"/>
  <c r="G295" i="9" s="1"/>
  <c r="G296" i="9" s="1"/>
  <c r="G297" i="9" s="1"/>
  <c r="G298" i="9" l="1"/>
  <c r="G299" i="9" s="1"/>
  <c r="G300" i="9" s="1"/>
  <c r="G301" i="9" s="1"/>
  <c r="G302" i="9" s="1"/>
  <c r="F21" i="9"/>
  <c r="B22" i="9"/>
  <c r="D22" i="9" l="1"/>
  <c r="E22" i="9"/>
  <c r="G303" i="9"/>
  <c r="G304" i="9" s="1"/>
  <c r="G305" i="9" s="1"/>
  <c r="G306" i="9" s="1"/>
  <c r="G307" i="9" s="1"/>
  <c r="B23" i="9" l="1"/>
  <c r="F22" i="9"/>
  <c r="G308" i="9"/>
  <c r="G309" i="9" s="1"/>
  <c r="G310" i="9" s="1"/>
  <c r="G311" i="9" s="1"/>
  <c r="G312" i="9" s="1"/>
  <c r="G313" i="9" l="1"/>
  <c r="G314" i="9" s="1"/>
  <c r="G315" i="9" s="1"/>
  <c r="G316" i="9" s="1"/>
  <c r="G317" i="9" s="1"/>
  <c r="G318" i="9" s="1"/>
  <c r="D23" i="9"/>
  <c r="E23" i="9"/>
  <c r="F23" i="9" l="1"/>
  <c r="B24" i="9"/>
  <c r="G319" i="9"/>
  <c r="G320" i="9" s="1"/>
  <c r="G321" i="9" s="1"/>
  <c r="G322" i="9" s="1"/>
  <c r="G323" i="9" s="1"/>
  <c r="G324" i="9" l="1"/>
  <c r="G325" i="9" s="1"/>
  <c r="G326" i="9" s="1"/>
  <c r="G327" i="9" s="1"/>
  <c r="G328" i="9" s="1"/>
  <c r="D24" i="9"/>
  <c r="E24" i="9"/>
  <c r="G329" i="9" l="1"/>
  <c r="G330" i="9" s="1"/>
  <c r="G331" i="9" s="1"/>
  <c r="G332" i="9" s="1"/>
  <c r="G333" i="9" s="1"/>
  <c r="F24" i="9"/>
  <c r="B25" i="9"/>
  <c r="D25" i="9" l="1"/>
  <c r="E25" i="9"/>
  <c r="G334" i="9"/>
  <c r="G335" i="9" s="1"/>
  <c r="G336" i="9" s="1"/>
  <c r="G337" i="9" s="1"/>
  <c r="G338" i="9" s="1"/>
  <c r="G339" i="9" s="1"/>
  <c r="G340" i="9" l="1"/>
  <c r="G341" i="9" s="1"/>
  <c r="G342" i="9" s="1"/>
  <c r="G343" i="9" s="1"/>
  <c r="G344" i="9" s="1"/>
  <c r="B26" i="9"/>
  <c r="F25" i="9"/>
  <c r="D26" i="9" l="1"/>
  <c r="E26" i="9"/>
  <c r="G345" i="9"/>
  <c r="G346" i="9" s="1"/>
  <c r="G347" i="9" s="1"/>
  <c r="G348" i="9" s="1"/>
  <c r="G349" i="9" s="1"/>
  <c r="B27" i="9" l="1"/>
  <c r="F26" i="9"/>
  <c r="G350" i="9"/>
  <c r="G351" i="9" s="1"/>
  <c r="G352" i="9" s="1"/>
  <c r="G353" i="9" s="1"/>
  <c r="G354" i="9" s="1"/>
  <c r="G355" i="9" l="1"/>
  <c r="G356" i="9" s="1"/>
  <c r="G357" i="9" s="1"/>
  <c r="G358" i="9" s="1"/>
  <c r="G359" i="9" s="1"/>
  <c r="G360" i="9" s="1"/>
  <c r="D27" i="9"/>
  <c r="E27" i="9"/>
  <c r="F27" i="9" l="1"/>
  <c r="B28" i="9"/>
  <c r="G361" i="9"/>
  <c r="G362" i="9" s="1"/>
  <c r="G363" i="9" s="1"/>
  <c r="G364" i="9" s="1"/>
  <c r="G365" i="9" s="1"/>
  <c r="G366" i="9" l="1"/>
  <c r="G367" i="9" s="1"/>
  <c r="G368" i="9" s="1"/>
  <c r="G369" i="9" s="1"/>
  <c r="G370" i="9" s="1"/>
  <c r="D28" i="9"/>
  <c r="E28" i="9"/>
  <c r="F28" i="9" l="1"/>
  <c r="B29" i="9"/>
  <c r="G371" i="9"/>
  <c r="G372" i="9" s="1"/>
  <c r="G373" i="9" s="1"/>
  <c r="G374" i="9" s="1"/>
  <c r="G375" i="9" s="1"/>
  <c r="G376" i="9" l="1"/>
  <c r="G377" i="9" s="1"/>
  <c r="G378" i="9" s="1"/>
  <c r="G379" i="9" s="1"/>
  <c r="G380" i="9" s="1"/>
  <c r="G381" i="9" s="1"/>
  <c r="D29" i="9"/>
  <c r="E29" i="9"/>
  <c r="G382" i="9" l="1"/>
  <c r="G383" i="9" s="1"/>
  <c r="G384" i="9" s="1"/>
  <c r="G385" i="9" s="1"/>
  <c r="G386" i="9" s="1"/>
  <c r="F29" i="9"/>
  <c r="B30" i="9"/>
  <c r="G387" i="9" l="1"/>
  <c r="G388" i="9" s="1"/>
  <c r="G389" i="9" s="1"/>
  <c r="G390" i="9" s="1"/>
  <c r="G391" i="9" s="1"/>
  <c r="D30" i="9"/>
  <c r="E30" i="9"/>
  <c r="G392" i="9" l="1"/>
  <c r="G393" i="9" s="1"/>
  <c r="G394" i="9" s="1"/>
  <c r="G395" i="9" s="1"/>
  <c r="G396" i="9" s="1"/>
  <c r="F30" i="9"/>
  <c r="B31" i="9"/>
  <c r="G397" i="9" l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D31" i="9"/>
  <c r="E31" i="9"/>
  <c r="F31" i="9" l="1"/>
  <c r="B32" i="9"/>
  <c r="D32" i="9" l="1"/>
  <c r="E32" i="9"/>
  <c r="F32" i="9" l="1"/>
  <c r="B33" i="9"/>
  <c r="D33" i="9" l="1"/>
  <c r="E33" i="9"/>
  <c r="B34" i="9" l="1"/>
  <c r="F33" i="9"/>
  <c r="D34" i="9" l="1"/>
  <c r="E34" i="9"/>
  <c r="B35" i="9" l="1"/>
  <c r="F34" i="9"/>
  <c r="D35" i="9" l="1"/>
  <c r="E35" i="9"/>
  <c r="B36" i="9" l="1"/>
  <c r="F35" i="9"/>
  <c r="D36" i="9" l="1"/>
  <c r="E36" i="9"/>
  <c r="B37" i="9" l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F36" i="9"/>
  <c r="E37" i="9" l="1"/>
  <c r="D37" i="9"/>
  <c r="B38" i="9" l="1"/>
  <c r="F37" i="9"/>
  <c r="E38" i="9" l="1"/>
  <c r="D38" i="9"/>
  <c r="F38" i="9" l="1"/>
  <c r="B39" i="9"/>
  <c r="E39" i="9" l="1"/>
  <c r="D39" i="9"/>
  <c r="F39" i="9" l="1"/>
  <c r="B40" i="9"/>
  <c r="E40" i="9" l="1"/>
  <c r="D40" i="9"/>
  <c r="F40" i="9" l="1"/>
  <c r="B41" i="9"/>
  <c r="E41" i="9" l="1"/>
  <c r="D41" i="9"/>
  <c r="F41" i="9" l="1"/>
  <c r="B42" i="9"/>
  <c r="D42" i="9" l="1"/>
  <c r="E42" i="9"/>
  <c r="F42" i="9" l="1"/>
  <c r="B43" i="9"/>
  <c r="D43" i="9" l="1"/>
  <c r="E43" i="9"/>
  <c r="F43" i="9" l="1"/>
  <c r="B44" i="9"/>
  <c r="W44" i="9" s="1"/>
  <c r="W45" i="9" s="1"/>
  <c r="W46" i="9" s="1"/>
  <c r="D44" i="9" l="1"/>
  <c r="Z44" i="9"/>
  <c r="Z45" i="9" s="1"/>
  <c r="Z46" i="9" s="1"/>
  <c r="E44" i="9"/>
  <c r="Z47" i="9" l="1"/>
  <c r="Z48" i="9" s="1"/>
  <c r="Z49" i="9" s="1"/>
  <c r="F44" i="9"/>
  <c r="B45" i="9"/>
  <c r="Z50" i="9" l="1"/>
  <c r="D45" i="9"/>
  <c r="E45" i="9"/>
  <c r="Z51" i="9" l="1"/>
  <c r="F45" i="9"/>
  <c r="B46" i="9"/>
  <c r="Z52" i="9" l="1"/>
  <c r="D46" i="9"/>
  <c r="E46" i="9"/>
  <c r="Z53" i="9" l="1"/>
  <c r="F46" i="9"/>
  <c r="B47" i="9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l="1"/>
  <c r="V61" i="9" s="1"/>
  <c r="V62" i="9" s="1"/>
  <c r="V63" i="9" s="1"/>
  <c r="AE59" i="9"/>
  <c r="AE60" i="9" s="1"/>
  <c r="AE61" i="9" s="1"/>
  <c r="AE62" i="9" s="1"/>
  <c r="AE63" i="9" s="1"/>
  <c r="AE64" i="9" s="1"/>
  <c r="AE65" i="9" s="1"/>
  <c r="AE66" i="9" s="1"/>
  <c r="AE67" i="9" s="1"/>
  <c r="AE68" i="9" s="1"/>
  <c r="AE69" i="9" s="1"/>
  <c r="AE70" i="9" s="1"/>
  <c r="AE71" i="9" s="1"/>
  <c r="AE72" i="9" s="1"/>
  <c r="AE73" i="9" s="1"/>
  <c r="AE74" i="9" s="1"/>
  <c r="AE75" i="9" s="1"/>
  <c r="AE76" i="9" s="1"/>
  <c r="AE77" i="9" s="1"/>
  <c r="AE78" i="9" s="1"/>
  <c r="AE79" i="9" s="1"/>
  <c r="AE80" i="9" s="1"/>
  <c r="AE81" i="9" s="1"/>
  <c r="AE82" i="9" s="1"/>
  <c r="AE83" i="9" s="1"/>
  <c r="AE84" i="9" s="1"/>
  <c r="AE85" i="9" s="1"/>
  <c r="AE86" i="9" s="1"/>
  <c r="AE87" i="9" s="1"/>
  <c r="AE88" i="9" s="1"/>
  <c r="AE89" i="9" s="1"/>
  <c r="AE90" i="9" s="1"/>
  <c r="Z54" i="9"/>
  <c r="D47" i="9"/>
  <c r="W47" i="9"/>
  <c r="W48" i="9" s="1"/>
  <c r="W49" i="9" s="1"/>
  <c r="E47" i="9"/>
  <c r="W50" i="9" l="1"/>
  <c r="Z55" i="9"/>
  <c r="F47" i="9"/>
  <c r="B48" i="9"/>
  <c r="W51" i="9" l="1"/>
  <c r="Z56" i="9"/>
  <c r="Z57" i="9" s="1"/>
  <c r="Z58" i="9" s="1"/>
  <c r="Z59" i="9" s="1"/>
  <c r="Z60" i="9" s="1"/>
  <c r="Z61" i="9" s="1"/>
  <c r="Z62" i="9" s="1"/>
  <c r="Z63" i="9" s="1"/>
  <c r="Z64" i="9" s="1"/>
  <c r="Z65" i="9" s="1"/>
  <c r="Z66" i="9" s="1"/>
  <c r="Z67" i="9" s="1"/>
  <c r="Z68" i="9" s="1"/>
  <c r="Z69" i="9" s="1"/>
  <c r="Z70" i="9" s="1"/>
  <c r="D48" i="9"/>
  <c r="E48" i="9"/>
  <c r="Z71" i="9" l="1"/>
  <c r="W52" i="9"/>
  <c r="F48" i="9"/>
  <c r="B49" i="9"/>
  <c r="Z72" i="9" l="1"/>
  <c r="Z73" i="9" s="1"/>
  <c r="Z74" i="9" s="1"/>
  <c r="W53" i="9"/>
  <c r="D49" i="9"/>
  <c r="E49" i="9"/>
  <c r="Z75" i="9" l="1"/>
  <c r="W54" i="9"/>
  <c r="F49" i="9"/>
  <c r="B50" i="9"/>
  <c r="Z76" i="9" l="1"/>
  <c r="W55" i="9"/>
  <c r="D50" i="9"/>
  <c r="E50" i="9"/>
  <c r="Z77" i="9" l="1"/>
  <c r="W56" i="9"/>
  <c r="W57" i="9" s="1"/>
  <c r="W58" i="9" s="1"/>
  <c r="F50" i="9"/>
  <c r="B51" i="9"/>
  <c r="Z78" i="9" l="1"/>
  <c r="W59" i="9"/>
  <c r="D51" i="9"/>
  <c r="E51" i="9"/>
  <c r="Z79" i="9" l="1"/>
  <c r="F51" i="9"/>
  <c r="B52" i="9"/>
  <c r="Z80" i="9" l="1"/>
  <c r="D52" i="9"/>
  <c r="E52" i="9"/>
  <c r="Z81" i="9" l="1"/>
  <c r="B53" i="9"/>
  <c r="F52" i="9"/>
  <c r="Z82" i="9" l="1"/>
  <c r="Z83" i="9" s="1"/>
  <c r="Z84" i="9" s="1"/>
  <c r="D53" i="9"/>
  <c r="E53" i="9"/>
  <c r="Z85" i="9" l="1"/>
  <c r="B54" i="9"/>
  <c r="F53" i="9"/>
  <c r="Z86" i="9" l="1"/>
  <c r="D54" i="9"/>
  <c r="E54" i="9"/>
  <c r="Z87" i="9" l="1"/>
  <c r="Z88" i="9" s="1"/>
  <c r="Z89" i="9" s="1"/>
  <c r="F54" i="9"/>
  <c r="B55" i="9"/>
  <c r="Z90" i="9" l="1"/>
  <c r="E55" i="9"/>
  <c r="D55" i="9"/>
  <c r="Z91" i="9" l="1"/>
  <c r="F55" i="9"/>
  <c r="B56" i="9"/>
  <c r="X56" i="9" s="1"/>
  <c r="X57" i="9" s="1"/>
  <c r="X58" i="9" s="1"/>
  <c r="X59" i="9" s="1"/>
  <c r="X60" i="9" s="1"/>
  <c r="X61" i="9" s="1"/>
  <c r="X62" i="9" s="1"/>
  <c r="X63" i="9" s="1"/>
  <c r="Z92" i="9" l="1"/>
  <c r="Z93" i="9" s="1"/>
  <c r="Z94" i="9" s="1"/>
  <c r="AA56" i="9"/>
  <c r="AA57" i="9" s="1"/>
  <c r="AA58" i="9" s="1"/>
  <c r="E56" i="9"/>
  <c r="D56" i="9"/>
  <c r="Z95" i="9" l="1"/>
  <c r="AA59" i="9"/>
  <c r="F56" i="9"/>
  <c r="B57" i="9"/>
  <c r="CA57" i="9" s="1"/>
  <c r="Z96" i="9" l="1"/>
  <c r="AA60" i="9"/>
  <c r="AA61" i="9" s="1"/>
  <c r="AA62" i="9" s="1"/>
  <c r="E57" i="9"/>
  <c r="D57" i="9"/>
  <c r="Z97" i="9" l="1"/>
  <c r="Z98" i="9" s="1"/>
  <c r="Z99" i="9" s="1"/>
  <c r="AA63" i="9"/>
  <c r="F57" i="9"/>
  <c r="B58" i="9"/>
  <c r="CA58" i="9" s="1"/>
  <c r="Z100" i="9" l="1"/>
  <c r="AA64" i="9"/>
  <c r="AA65" i="9" s="1"/>
  <c r="AA66" i="9" s="1"/>
  <c r="E58" i="9"/>
  <c r="D58" i="9"/>
  <c r="Z101" i="9" l="1"/>
  <c r="AA67" i="9"/>
  <c r="F58" i="9"/>
  <c r="B59" i="9"/>
  <c r="CA59" i="9" s="1"/>
  <c r="Z102" i="9" l="1"/>
  <c r="AA68" i="9"/>
  <c r="AA69" i="9" s="1"/>
  <c r="AA70" i="9" s="1"/>
  <c r="E59" i="9"/>
  <c r="D59" i="9"/>
  <c r="AA71" i="9" l="1"/>
  <c r="Z103" i="9"/>
  <c r="BW107" i="9" s="1"/>
  <c r="B60" i="9"/>
  <c r="F59" i="9"/>
  <c r="W60" i="9" l="1"/>
  <c r="W61" i="9" s="1"/>
  <c r="W62" i="9" s="1"/>
  <c r="W63" i="9" s="1"/>
  <c r="W64" i="9" s="1"/>
  <c r="W65" i="9" s="1"/>
  <c r="W66" i="9" s="1"/>
  <c r="W67" i="9" s="1"/>
  <c r="CA60" i="9"/>
  <c r="AA72" i="9"/>
  <c r="AA73" i="9" s="1"/>
  <c r="AA74" i="9" s="1"/>
  <c r="Z104" i="9"/>
  <c r="E60" i="9"/>
  <c r="Y60" i="9"/>
  <c r="Y61" i="9" s="1"/>
  <c r="Y62" i="9" s="1"/>
  <c r="D60" i="9"/>
  <c r="Z105" i="9" l="1"/>
  <c r="BW108" i="9"/>
  <c r="Y63" i="9"/>
  <c r="AA75" i="9"/>
  <c r="B61" i="9"/>
  <c r="CA61" i="9" s="1"/>
  <c r="F60" i="9"/>
  <c r="Z106" i="9" l="1"/>
  <c r="BW109" i="9"/>
  <c r="Y64" i="9"/>
  <c r="Y65" i="9" s="1"/>
  <c r="Y66" i="9" s="1"/>
  <c r="AA76" i="9"/>
  <c r="E61" i="9"/>
  <c r="D61" i="9"/>
  <c r="BW110" i="9" l="1"/>
  <c r="BQ107" i="9"/>
  <c r="Z107" i="9"/>
  <c r="Y67" i="9"/>
  <c r="AA77" i="9"/>
  <c r="B62" i="9"/>
  <c r="CA62" i="9" s="1"/>
  <c r="F61" i="9"/>
  <c r="BQ108" i="9" l="1"/>
  <c r="BW111" i="9"/>
  <c r="Z108" i="9"/>
  <c r="Y68" i="9"/>
  <c r="AA78" i="9"/>
  <c r="E62" i="9"/>
  <c r="D62" i="9"/>
  <c r="BW112" i="9" l="1"/>
  <c r="BQ109" i="9"/>
  <c r="Z109" i="9"/>
  <c r="Y69" i="9"/>
  <c r="Y70" i="9" s="1"/>
  <c r="Y71" i="9" s="1"/>
  <c r="AA79" i="9"/>
  <c r="B63" i="9"/>
  <c r="CA63" i="9" s="1"/>
  <c r="F62" i="9"/>
  <c r="Z110" i="9" l="1"/>
  <c r="BW113" i="9"/>
  <c r="BQ110" i="9"/>
  <c r="AA80" i="9"/>
  <c r="E63" i="9"/>
  <c r="D63" i="9"/>
  <c r="Z111" i="9" l="1"/>
  <c r="BW114" i="9"/>
  <c r="BQ111" i="9"/>
  <c r="AA81" i="9"/>
  <c r="F63" i="9"/>
  <c r="B64" i="9"/>
  <c r="V64" i="9" l="1"/>
  <c r="V65" i="9" s="1"/>
  <c r="V66" i="9" s="1"/>
  <c r="V67" i="9" s="1"/>
  <c r="CA64" i="9"/>
  <c r="BW115" i="9"/>
  <c r="BQ112" i="9"/>
  <c r="Z112" i="9"/>
  <c r="AA82" i="9"/>
  <c r="AA83" i="9" s="1"/>
  <c r="AA84" i="9" s="1"/>
  <c r="E64" i="9"/>
  <c r="D64" i="9"/>
  <c r="X64" i="9"/>
  <c r="X65" i="9" s="1"/>
  <c r="X66" i="9" s="1"/>
  <c r="BW116" i="9" l="1"/>
  <c r="BQ113" i="9"/>
  <c r="Z113" i="9"/>
  <c r="X67" i="9"/>
  <c r="AA85" i="9"/>
  <c r="F64" i="9"/>
  <c r="B65" i="9"/>
  <c r="CA65" i="9" s="1"/>
  <c r="BQ114" i="9" l="1"/>
  <c r="BW117" i="9"/>
  <c r="Z114" i="9"/>
  <c r="X68" i="9"/>
  <c r="X69" i="9" s="1"/>
  <c r="X70" i="9" s="1"/>
  <c r="AA86" i="9"/>
  <c r="E65" i="9"/>
  <c r="D65" i="9"/>
  <c r="Z115" i="9" l="1"/>
  <c r="BQ115" i="9"/>
  <c r="BW118" i="9"/>
  <c r="X71" i="9"/>
  <c r="AA87" i="9"/>
  <c r="AA88" i="9" s="1"/>
  <c r="AA89" i="9" s="1"/>
  <c r="F65" i="9"/>
  <c r="B66" i="9"/>
  <c r="CA66" i="9" s="1"/>
  <c r="Z116" i="9" l="1"/>
  <c r="BQ116" i="9"/>
  <c r="BW119" i="9"/>
  <c r="X72" i="9"/>
  <c r="X73" i="9" s="1"/>
  <c r="AA90" i="9"/>
  <c r="E66" i="9"/>
  <c r="D66" i="9"/>
  <c r="BQ117" i="9" l="1"/>
  <c r="BW120" i="9"/>
  <c r="Z117" i="9"/>
  <c r="X74" i="9"/>
  <c r="X75" i="9" s="1"/>
  <c r="AA91" i="9"/>
  <c r="F66" i="9"/>
  <c r="B67" i="9"/>
  <c r="CA67" i="9" s="1"/>
  <c r="BW121" i="9" l="1"/>
  <c r="BQ118" i="9"/>
  <c r="Z118" i="9"/>
  <c r="X76" i="9"/>
  <c r="AA92" i="9"/>
  <c r="AA93" i="9" s="1"/>
  <c r="AA94" i="9" s="1"/>
  <c r="E67" i="9"/>
  <c r="D67" i="9"/>
  <c r="BQ119" i="9" l="1"/>
  <c r="BW122" i="9"/>
  <c r="Z119" i="9"/>
  <c r="X77" i="9"/>
  <c r="AA95" i="9"/>
  <c r="F67" i="9"/>
  <c r="B68" i="9"/>
  <c r="V68" i="9" l="1"/>
  <c r="V69" i="9" s="1"/>
  <c r="V70" i="9" s="1"/>
  <c r="V71" i="9" s="1"/>
  <c r="CA68" i="9"/>
  <c r="Z120" i="9"/>
  <c r="BW123" i="9"/>
  <c r="BQ120" i="9"/>
  <c r="X78" i="9"/>
  <c r="AA96" i="9"/>
  <c r="W68" i="9"/>
  <c r="W69" i="9" s="1"/>
  <c r="W70" i="9" s="1"/>
  <c r="E68" i="9"/>
  <c r="D68" i="9"/>
  <c r="Z121" i="9" l="1"/>
  <c r="BW124" i="9"/>
  <c r="BQ121" i="9"/>
  <c r="W71" i="9"/>
  <c r="X79" i="9"/>
  <c r="AA97" i="9"/>
  <c r="AA98" i="9" s="1"/>
  <c r="AA99" i="9" s="1"/>
  <c r="F68" i="9"/>
  <c r="B69" i="9"/>
  <c r="CA69" i="9" s="1"/>
  <c r="BW125" i="9" l="1"/>
  <c r="BQ122" i="9"/>
  <c r="Z122" i="9"/>
  <c r="W72" i="9"/>
  <c r="W73" i="9" s="1"/>
  <c r="W74" i="9" s="1"/>
  <c r="X80" i="9"/>
  <c r="AA100" i="9"/>
  <c r="E69" i="9"/>
  <c r="D69" i="9"/>
  <c r="BW126" i="9" l="1"/>
  <c r="BQ123" i="9"/>
  <c r="Z123" i="9"/>
  <c r="W75" i="9"/>
  <c r="X81" i="9"/>
  <c r="AA101" i="9"/>
  <c r="F69" i="9"/>
  <c r="B70" i="9"/>
  <c r="CA70" i="9" s="1"/>
  <c r="BW127" i="9" l="1"/>
  <c r="BQ124" i="9"/>
  <c r="Z124" i="9"/>
  <c r="W76" i="9"/>
  <c r="AA102" i="9"/>
  <c r="E70" i="9"/>
  <c r="D70" i="9"/>
  <c r="BQ125" i="9" l="1"/>
  <c r="BW128" i="9"/>
  <c r="Z125" i="9"/>
  <c r="W77" i="9"/>
  <c r="AA103" i="9"/>
  <c r="BX107" i="9" s="1"/>
  <c r="B71" i="9"/>
  <c r="CA71" i="9" s="1"/>
  <c r="F70" i="9"/>
  <c r="Z126" i="9" l="1"/>
  <c r="BW129" i="9"/>
  <c r="BQ126" i="9"/>
  <c r="W78" i="9"/>
  <c r="AA104" i="9"/>
  <c r="E71" i="9"/>
  <c r="D71" i="9"/>
  <c r="AA105" i="9" l="1"/>
  <c r="BX108" i="9"/>
  <c r="Z127" i="9"/>
  <c r="BW130" i="9"/>
  <c r="BQ127" i="9"/>
  <c r="W79" i="9"/>
  <c r="B72" i="9"/>
  <c r="F71" i="9"/>
  <c r="Y72" i="9" l="1"/>
  <c r="Y73" i="9" s="1"/>
  <c r="Y74" i="9" s="1"/>
  <c r="Y75" i="9" s="1"/>
  <c r="Y76" i="9" s="1"/>
  <c r="Y77" i="9" s="1"/>
  <c r="Y78" i="9" s="1"/>
  <c r="Y79" i="9" s="1"/>
  <c r="Y80" i="9" s="1"/>
  <c r="Y81" i="9" s="1"/>
  <c r="CA72" i="9"/>
  <c r="BW131" i="9"/>
  <c r="BQ128" i="9"/>
  <c r="Z128" i="9"/>
  <c r="AA106" i="9"/>
  <c r="BX109" i="9"/>
  <c r="W80" i="9"/>
  <c r="V72" i="9"/>
  <c r="V73" i="9" s="1"/>
  <c r="V74" i="9" s="1"/>
  <c r="E72" i="9"/>
  <c r="D72" i="9"/>
  <c r="BW132" i="9" l="1"/>
  <c r="BQ129" i="9"/>
  <c r="Z129" i="9"/>
  <c r="BX110" i="9"/>
  <c r="BR107" i="9"/>
  <c r="AA107" i="9"/>
  <c r="V75" i="9"/>
  <c r="W81" i="9"/>
  <c r="B73" i="9"/>
  <c r="CA73" i="9" s="1"/>
  <c r="F72" i="9"/>
  <c r="BW133" i="9" l="1"/>
  <c r="BQ130" i="9"/>
  <c r="Z130" i="9"/>
  <c r="BX111" i="9"/>
  <c r="BR108" i="9"/>
  <c r="AA108" i="9"/>
  <c r="V76" i="9"/>
  <c r="W82" i="9"/>
  <c r="W83" i="9" s="1"/>
  <c r="W84" i="9" s="1"/>
  <c r="E73" i="9"/>
  <c r="D73" i="9"/>
  <c r="Z131" i="9" l="1"/>
  <c r="BW134" i="9"/>
  <c r="BQ131" i="9"/>
  <c r="BX112" i="9"/>
  <c r="BR109" i="9"/>
  <c r="AA109" i="9"/>
  <c r="V77" i="9"/>
  <c r="W85" i="9"/>
  <c r="B74" i="9"/>
  <c r="CA74" i="9" s="1"/>
  <c r="F73" i="9"/>
  <c r="AA110" i="9" l="1"/>
  <c r="BX113" i="9"/>
  <c r="BR110" i="9"/>
  <c r="Z132" i="9"/>
  <c r="BQ132" i="9"/>
  <c r="BW135" i="9"/>
  <c r="V78" i="9"/>
  <c r="W86" i="9"/>
  <c r="E74" i="9"/>
  <c r="D74" i="9"/>
  <c r="BW136" i="9" l="1"/>
  <c r="BQ133" i="9"/>
  <c r="Z133" i="9"/>
  <c r="AA111" i="9"/>
  <c r="BX114" i="9"/>
  <c r="BR111" i="9"/>
  <c r="V79" i="9"/>
  <c r="B75" i="9"/>
  <c r="CA75" i="9" s="1"/>
  <c r="F74" i="9"/>
  <c r="BW137" i="9" l="1"/>
  <c r="BQ134" i="9"/>
  <c r="Z134" i="9"/>
  <c r="BR112" i="9"/>
  <c r="BX115" i="9"/>
  <c r="AA112" i="9"/>
  <c r="V80" i="9"/>
  <c r="D75" i="9"/>
  <c r="E75" i="9"/>
  <c r="BW138" i="9" l="1"/>
  <c r="BQ135" i="9"/>
  <c r="Z135" i="9"/>
  <c r="BR113" i="9"/>
  <c r="BX116" i="9"/>
  <c r="AA113" i="9"/>
  <c r="V81" i="9"/>
  <c r="B76" i="9"/>
  <c r="CA76" i="9" s="1"/>
  <c r="F75" i="9"/>
  <c r="Z136" i="9" l="1"/>
  <c r="BW139" i="9"/>
  <c r="BQ136" i="9"/>
  <c r="BR114" i="9"/>
  <c r="BX117" i="9"/>
  <c r="AA114" i="9"/>
  <c r="V82" i="9"/>
  <c r="V83" i="9" s="1"/>
  <c r="V84" i="9" s="1"/>
  <c r="D76" i="9"/>
  <c r="E76" i="9"/>
  <c r="AA115" i="9" l="1"/>
  <c r="BR115" i="9"/>
  <c r="BX118" i="9"/>
  <c r="Z137" i="9"/>
  <c r="BQ137" i="9"/>
  <c r="BW140" i="9"/>
  <c r="V85" i="9"/>
  <c r="B77" i="9"/>
  <c r="CA77" i="9" s="1"/>
  <c r="F76" i="9"/>
  <c r="BQ138" i="9" l="1"/>
  <c r="BW141" i="9"/>
  <c r="Z138" i="9"/>
  <c r="AA116" i="9"/>
  <c r="BX119" i="9"/>
  <c r="BR116" i="9"/>
  <c r="V86" i="9"/>
  <c r="AC86" i="9" s="1"/>
  <c r="D77" i="9"/>
  <c r="E77" i="9"/>
  <c r="BX120" i="9" l="1"/>
  <c r="BR117" i="9"/>
  <c r="AA117" i="9"/>
  <c r="BW142" i="9"/>
  <c r="BQ139" i="9"/>
  <c r="Z139" i="9"/>
  <c r="V87" i="9"/>
  <c r="V88" i="9" s="1"/>
  <c r="V89" i="9" s="1"/>
  <c r="B78" i="9"/>
  <c r="CA78" i="9" s="1"/>
  <c r="F77" i="9"/>
  <c r="BX121" i="9" l="1"/>
  <c r="BR118" i="9"/>
  <c r="AA118" i="9"/>
  <c r="BW143" i="9"/>
  <c r="BQ140" i="9"/>
  <c r="Z140" i="9"/>
  <c r="AC87" i="9"/>
  <c r="AC88" i="9" s="1"/>
  <c r="AC89" i="9" s="1"/>
  <c r="AC90" i="9" s="1"/>
  <c r="AC91" i="9" s="1"/>
  <c r="AC92" i="9" s="1"/>
  <c r="AC93" i="9" s="1"/>
  <c r="AC94" i="9" s="1"/>
  <c r="AC95" i="9" s="1"/>
  <c r="AC96" i="9" s="1"/>
  <c r="AC97" i="9" s="1"/>
  <c r="AC98" i="9" s="1"/>
  <c r="AC99" i="9" s="1"/>
  <c r="AC100" i="9" s="1"/>
  <c r="AC101" i="9" s="1"/>
  <c r="AC102" i="9" s="1"/>
  <c r="AC103" i="9" s="1"/>
  <c r="AC104" i="9" s="1"/>
  <c r="AC105" i="9" s="1"/>
  <c r="AC106" i="9" s="1"/>
  <c r="AC107" i="9" s="1"/>
  <c r="AC108" i="9" s="1"/>
  <c r="AC109" i="9" s="1"/>
  <c r="AC110" i="9" s="1"/>
  <c r="AC111" i="9" s="1"/>
  <c r="V90" i="9"/>
  <c r="D78" i="9"/>
  <c r="E78" i="9"/>
  <c r="BX122" i="9" l="1"/>
  <c r="BR119" i="9"/>
  <c r="AA119" i="9"/>
  <c r="Z141" i="9"/>
  <c r="BW144" i="9"/>
  <c r="BQ141" i="9"/>
  <c r="B79" i="9"/>
  <c r="CA79" i="9" s="1"/>
  <c r="F78" i="9"/>
  <c r="Z142" i="9" l="1"/>
  <c r="BW145" i="9"/>
  <c r="BQ142" i="9"/>
  <c r="AA120" i="9"/>
  <c r="BX123" i="9"/>
  <c r="BR120" i="9"/>
  <c r="D79" i="9"/>
  <c r="E79" i="9"/>
  <c r="BW146" i="9" l="1"/>
  <c r="BQ143" i="9"/>
  <c r="Z143" i="9"/>
  <c r="AA121" i="9"/>
  <c r="BR121" i="9"/>
  <c r="BX124" i="9"/>
  <c r="B80" i="9"/>
  <c r="CA80" i="9" s="1"/>
  <c r="F79" i="9"/>
  <c r="BX125" i="9" l="1"/>
  <c r="BR122" i="9"/>
  <c r="AA122" i="9"/>
  <c r="BW147" i="9"/>
  <c r="BQ144" i="9"/>
  <c r="Z144" i="9"/>
  <c r="D80" i="9"/>
  <c r="E80" i="9"/>
  <c r="BX126" i="9" l="1"/>
  <c r="BR123" i="9"/>
  <c r="AA123" i="9"/>
  <c r="BW148" i="9"/>
  <c r="BQ145" i="9"/>
  <c r="Z145" i="9"/>
  <c r="B81" i="9"/>
  <c r="CA81" i="9" s="1"/>
  <c r="F80" i="9"/>
  <c r="BR124" i="9" l="1"/>
  <c r="BX127" i="9"/>
  <c r="AA124" i="9"/>
  <c r="BQ146" i="9"/>
  <c r="BW149" i="9"/>
  <c r="Z146" i="9"/>
  <c r="AR420" i="9"/>
  <c r="AR421" i="9" s="1"/>
  <c r="D81" i="9"/>
  <c r="E81" i="9"/>
  <c r="BX128" i="9" l="1"/>
  <c r="BR125" i="9"/>
  <c r="AA125" i="9"/>
  <c r="Z147" i="9"/>
  <c r="BW150" i="9"/>
  <c r="BQ147" i="9"/>
  <c r="B82" i="9"/>
  <c r="F81" i="9"/>
  <c r="X82" i="9" l="1"/>
  <c r="X83" i="9" s="1"/>
  <c r="X84" i="9" s="1"/>
  <c r="X85" i="9" s="1"/>
  <c r="X86" i="9" s="1"/>
  <c r="CA82" i="9"/>
  <c r="Z148" i="9"/>
  <c r="BQ148" i="9"/>
  <c r="BW151" i="9"/>
  <c r="AA126" i="9"/>
  <c r="BX129" i="9"/>
  <c r="BR126" i="9"/>
  <c r="E82" i="9"/>
  <c r="Y82" i="9"/>
  <c r="Y83" i="9" s="1"/>
  <c r="Y84" i="9" s="1"/>
  <c r="D82" i="9"/>
  <c r="AA127" i="9" l="1"/>
  <c r="BR127" i="9"/>
  <c r="BX130" i="9"/>
  <c r="BW152" i="9"/>
  <c r="BQ149" i="9"/>
  <c r="Z149" i="9"/>
  <c r="Y85" i="9"/>
  <c r="B83" i="9"/>
  <c r="CA83" i="9" s="1"/>
  <c r="F82" i="9"/>
  <c r="BQ150" i="9" l="1"/>
  <c r="BW153" i="9"/>
  <c r="Z150" i="9"/>
  <c r="BX131" i="9"/>
  <c r="BR128" i="9"/>
  <c r="AA128" i="9"/>
  <c r="Y86" i="9"/>
  <c r="E83" i="9"/>
  <c r="D83" i="9"/>
  <c r="BQ151" i="9" l="1"/>
  <c r="BW154" i="9"/>
  <c r="Z151" i="9"/>
  <c r="BX132" i="9"/>
  <c r="BR129" i="9"/>
  <c r="AA129" i="9"/>
  <c r="Y87" i="9"/>
  <c r="Y88" i="9" s="1"/>
  <c r="Y89" i="9" s="1"/>
  <c r="B84" i="9"/>
  <c r="CA84" i="9" s="1"/>
  <c r="F83" i="9"/>
  <c r="Z152" i="9" l="1"/>
  <c r="BW155" i="9"/>
  <c r="BQ152" i="9"/>
  <c r="BX133" i="9"/>
  <c r="BR130" i="9"/>
  <c r="AA130" i="9"/>
  <c r="Y90" i="9"/>
  <c r="E84" i="9"/>
  <c r="D84" i="9"/>
  <c r="Z153" i="9" l="1"/>
  <c r="BW156" i="9"/>
  <c r="BQ153" i="9"/>
  <c r="AA131" i="9"/>
  <c r="BR131" i="9"/>
  <c r="BX134" i="9"/>
  <c r="Y91" i="9"/>
  <c r="B85" i="9"/>
  <c r="CA85" i="9" s="1"/>
  <c r="F84" i="9"/>
  <c r="AA132" i="9" l="1"/>
  <c r="BX135" i="9"/>
  <c r="BR132" i="9"/>
  <c r="BQ154" i="9"/>
  <c r="BW157" i="9"/>
  <c r="Z154" i="9"/>
  <c r="Y92" i="9"/>
  <c r="Y93" i="9" s="1"/>
  <c r="Y94" i="9" s="1"/>
  <c r="E85" i="9"/>
  <c r="D85" i="9"/>
  <c r="BW158" i="9" l="1"/>
  <c r="BQ155" i="9"/>
  <c r="Z155" i="9"/>
  <c r="BW159" i="9" s="1"/>
  <c r="BX136" i="9"/>
  <c r="BR133" i="9"/>
  <c r="AA133" i="9"/>
  <c r="Y95" i="9"/>
  <c r="B86" i="9"/>
  <c r="CA86" i="9" s="1"/>
  <c r="F85" i="9"/>
  <c r="BQ156" i="9" l="1"/>
  <c r="Z156" i="9"/>
  <c r="BW160" i="9" s="1"/>
  <c r="BX137" i="9"/>
  <c r="BR134" i="9"/>
  <c r="AA134" i="9"/>
  <c r="Y96" i="9"/>
  <c r="E86" i="9"/>
  <c r="D86" i="9"/>
  <c r="Z157" i="9" l="1"/>
  <c r="BW161" i="9" s="1"/>
  <c r="BQ157" i="9"/>
  <c r="BX138" i="9"/>
  <c r="BR135" i="9"/>
  <c r="AA135" i="9"/>
  <c r="F86" i="9"/>
  <c r="B87" i="9"/>
  <c r="W87" i="9" l="1"/>
  <c r="W88" i="9" s="1"/>
  <c r="W89" i="9" s="1"/>
  <c r="W90" i="9" s="1"/>
  <c r="W91" i="9" s="1"/>
  <c r="CA87" i="9"/>
  <c r="AA136" i="9"/>
  <c r="BX139" i="9"/>
  <c r="BR136" i="9"/>
  <c r="Z158" i="9"/>
  <c r="BQ158" i="9"/>
  <c r="E87" i="9"/>
  <c r="D87" i="9"/>
  <c r="X87" i="9"/>
  <c r="X88" i="9" s="1"/>
  <c r="X89" i="9" s="1"/>
  <c r="BQ159" i="9" l="1"/>
  <c r="BW162" i="9"/>
  <c r="Z159" i="9"/>
  <c r="AA137" i="9"/>
  <c r="BR137" i="9"/>
  <c r="BX140" i="9"/>
  <c r="X90" i="9"/>
  <c r="F87" i="9"/>
  <c r="B88" i="9"/>
  <c r="CA88" i="9" s="1"/>
  <c r="Z160" i="9" l="1"/>
  <c r="BQ160" i="9"/>
  <c r="BW163" i="9"/>
  <c r="BX141" i="9"/>
  <c r="BR138" i="9"/>
  <c r="AA138" i="9"/>
  <c r="X91" i="9"/>
  <c r="E88" i="9"/>
  <c r="D88" i="9"/>
  <c r="Z161" i="9" l="1"/>
  <c r="BQ161" i="9"/>
  <c r="BW164" i="9"/>
  <c r="BR139" i="9"/>
  <c r="BX142" i="9"/>
  <c r="AA139" i="9"/>
  <c r="X92" i="9"/>
  <c r="X93" i="9" s="1"/>
  <c r="X94" i="9" s="1"/>
  <c r="F88" i="9"/>
  <c r="B89" i="9"/>
  <c r="CA89" i="9" s="1"/>
  <c r="Z162" i="9" l="1"/>
  <c r="BW165" i="9"/>
  <c r="BQ162" i="9"/>
  <c r="BX143" i="9"/>
  <c r="BR140" i="9"/>
  <c r="AA140" i="9"/>
  <c r="X95" i="9"/>
  <c r="E89" i="9"/>
  <c r="D89" i="9"/>
  <c r="Z163" i="9" l="1"/>
  <c r="BQ163" i="9"/>
  <c r="BW166" i="9"/>
  <c r="AA141" i="9"/>
  <c r="BX144" i="9"/>
  <c r="BR141" i="9"/>
  <c r="X96" i="9"/>
  <c r="F89" i="9"/>
  <c r="B90" i="9"/>
  <c r="CA90" i="9" s="1"/>
  <c r="Z164" i="9" l="1"/>
  <c r="BW167" i="9"/>
  <c r="BQ164" i="9"/>
  <c r="AA142" i="9"/>
  <c r="BX145" i="9"/>
  <c r="BR142" i="9"/>
  <c r="X97" i="9"/>
  <c r="X98" i="9" s="1"/>
  <c r="X99" i="9" s="1"/>
  <c r="E90" i="9"/>
  <c r="D90" i="9"/>
  <c r="Z165" i="9" l="1"/>
  <c r="BQ165" i="9"/>
  <c r="BW168" i="9"/>
  <c r="BX146" i="9"/>
  <c r="BR143" i="9"/>
  <c r="AA143" i="9"/>
  <c r="X100" i="9"/>
  <c r="F90" i="9"/>
  <c r="B91" i="9"/>
  <c r="V91" i="9" l="1"/>
  <c r="AE91" i="9" s="1"/>
  <c r="AE92" i="9" s="1"/>
  <c r="AE93" i="9" s="1"/>
  <c r="AE94" i="9" s="1"/>
  <c r="CA91" i="9"/>
  <c r="Z166" i="9"/>
  <c r="BW169" i="9"/>
  <c r="BQ166" i="9"/>
  <c r="BX147" i="9"/>
  <c r="BR144" i="9"/>
  <c r="AA144" i="9"/>
  <c r="X101" i="9"/>
  <c r="E91" i="9"/>
  <c r="D91" i="9"/>
  <c r="Z167" i="9" l="1"/>
  <c r="BQ167" i="9"/>
  <c r="BW170" i="9"/>
  <c r="BR145" i="9"/>
  <c r="BX148" i="9"/>
  <c r="AA145" i="9"/>
  <c r="X102" i="9"/>
  <c r="F91" i="9"/>
  <c r="B92" i="9"/>
  <c r="V92" i="9" l="1"/>
  <c r="V93" i="9" s="1"/>
  <c r="CA92" i="9"/>
  <c r="Z168" i="9"/>
  <c r="BQ168" i="9"/>
  <c r="BW171" i="9"/>
  <c r="BX149" i="9"/>
  <c r="BR146" i="9"/>
  <c r="AA146" i="9"/>
  <c r="AE95" i="9"/>
  <c r="AE96" i="9" s="1"/>
  <c r="AE97" i="9" s="1"/>
  <c r="AE98" i="9" s="1"/>
  <c r="AE99" i="9" s="1"/>
  <c r="AE100" i="9" s="1"/>
  <c r="AE101" i="9" s="1"/>
  <c r="AE102" i="9" s="1"/>
  <c r="AE103" i="9" s="1"/>
  <c r="AE104" i="9" s="1"/>
  <c r="AE105" i="9" s="1"/>
  <c r="AE106" i="9" s="1"/>
  <c r="AE107" i="9" s="1"/>
  <c r="AE108" i="9" s="1"/>
  <c r="AE109" i="9" s="1"/>
  <c r="AE110" i="9" s="1"/>
  <c r="AE111" i="9" s="1"/>
  <c r="AE112" i="9" s="1"/>
  <c r="AE113" i="9" s="1"/>
  <c r="AE114" i="9" s="1"/>
  <c r="AE115" i="9" s="1"/>
  <c r="X103" i="9"/>
  <c r="BU107" i="9" s="1"/>
  <c r="W92" i="9"/>
  <c r="W93" i="9" s="1"/>
  <c r="W94" i="9" s="1"/>
  <c r="E92" i="9"/>
  <c r="D92" i="9"/>
  <c r="Z169" i="9" l="1"/>
  <c r="BQ169" i="9"/>
  <c r="BW172" i="9"/>
  <c r="AA147" i="9"/>
  <c r="BX150" i="9"/>
  <c r="BR147" i="9"/>
  <c r="W95" i="9"/>
  <c r="F92" i="9"/>
  <c r="B93" i="9"/>
  <c r="CA93" i="9" s="1"/>
  <c r="Z170" i="9" l="1"/>
  <c r="BQ170" i="9"/>
  <c r="BW173" i="9"/>
  <c r="AA148" i="9"/>
  <c r="BR148" i="9"/>
  <c r="BX151" i="9"/>
  <c r="W96" i="9"/>
  <c r="AD96" i="9" s="1"/>
  <c r="AD97" i="9" s="1"/>
  <c r="E93" i="9"/>
  <c r="D93" i="9"/>
  <c r="Z171" i="9" l="1"/>
  <c r="BW174" i="9"/>
  <c r="BQ171" i="9"/>
  <c r="BX152" i="9"/>
  <c r="BR149" i="9"/>
  <c r="AA149" i="9"/>
  <c r="W97" i="9"/>
  <c r="W98" i="9" s="1"/>
  <c r="B94" i="9"/>
  <c r="F93" i="9"/>
  <c r="V94" i="9" l="1"/>
  <c r="V95" i="9" s="1"/>
  <c r="V96" i="9" s="1"/>
  <c r="CA94" i="9"/>
  <c r="Z172" i="9"/>
  <c r="BW175" i="9"/>
  <c r="BQ172" i="9"/>
  <c r="BR150" i="9"/>
  <c r="BX153" i="9"/>
  <c r="AA150" i="9"/>
  <c r="W99" i="9"/>
  <c r="W100" i="9" s="1"/>
  <c r="AD98" i="9"/>
  <c r="AD99" i="9" s="1"/>
  <c r="AD100" i="9" s="1"/>
  <c r="AD101" i="9" s="1"/>
  <c r="AD102" i="9" s="1"/>
  <c r="AD103" i="9" s="1"/>
  <c r="AD104" i="9" s="1"/>
  <c r="AD105" i="9" s="1"/>
  <c r="AD106" i="9" s="1"/>
  <c r="AD107" i="9" s="1"/>
  <c r="AD108" i="9" s="1"/>
  <c r="AD109" i="9" s="1"/>
  <c r="AD110" i="9" s="1"/>
  <c r="AD111" i="9" s="1"/>
  <c r="AD112" i="9" s="1"/>
  <c r="AD113" i="9" s="1"/>
  <c r="AD114" i="9" s="1"/>
  <c r="AD115" i="9" s="1"/>
  <c r="AD116" i="9" s="1"/>
  <c r="AD117" i="9" s="1"/>
  <c r="AD118" i="9" s="1"/>
  <c r="AD119" i="9" s="1"/>
  <c r="AD120" i="9" s="1"/>
  <c r="AD121" i="9" s="1"/>
  <c r="AD122" i="9" s="1"/>
  <c r="AD123" i="9" s="1"/>
  <c r="AD124" i="9" s="1"/>
  <c r="AD125" i="9" s="1"/>
  <c r="AD126" i="9" s="1"/>
  <c r="AD127" i="9" s="1"/>
  <c r="AD128" i="9" s="1"/>
  <c r="AD129" i="9" s="1"/>
  <c r="AD130" i="9" s="1"/>
  <c r="AD131" i="9" s="1"/>
  <c r="AD132" i="9" s="1"/>
  <c r="E94" i="9"/>
  <c r="D94" i="9"/>
  <c r="Z173" i="9" l="1"/>
  <c r="BW176" i="9"/>
  <c r="BQ173" i="9"/>
  <c r="BX154" i="9"/>
  <c r="BR151" i="9"/>
  <c r="AA151" i="9"/>
  <c r="W101" i="9"/>
  <c r="B95" i="9"/>
  <c r="CA95" i="9" s="1"/>
  <c r="F94" i="9"/>
  <c r="Z174" i="9" l="1"/>
  <c r="BQ174" i="9"/>
  <c r="BW177" i="9"/>
  <c r="AA152" i="9"/>
  <c r="BX155" i="9"/>
  <c r="BR152" i="9"/>
  <c r="W102" i="9"/>
  <c r="E95" i="9"/>
  <c r="D95" i="9"/>
  <c r="Z175" i="9" l="1"/>
  <c r="BQ175" i="9"/>
  <c r="BW178" i="9"/>
  <c r="AA153" i="9"/>
  <c r="BX156" i="9"/>
  <c r="BR153" i="9"/>
  <c r="W103" i="9"/>
  <c r="BT107" i="9" s="1"/>
  <c r="B96" i="9"/>
  <c r="CA96" i="9" s="1"/>
  <c r="F95" i="9"/>
  <c r="Z176" i="9" l="1"/>
  <c r="BQ176" i="9"/>
  <c r="BW179" i="9"/>
  <c r="BX157" i="9"/>
  <c r="BR154" i="9"/>
  <c r="AA154" i="9"/>
  <c r="W104" i="9"/>
  <c r="BT108" i="9" s="1"/>
  <c r="E96" i="9"/>
  <c r="D96" i="9"/>
  <c r="Z177" i="9" l="1"/>
  <c r="BQ177" i="9"/>
  <c r="BW180" i="9"/>
  <c r="BR155" i="9"/>
  <c r="BX158" i="9"/>
  <c r="AA155" i="9"/>
  <c r="BX159" i="9" s="1"/>
  <c r="W105" i="9"/>
  <c r="B97" i="9"/>
  <c r="F96" i="9"/>
  <c r="Y97" i="9" l="1"/>
  <c r="Y98" i="9" s="1"/>
  <c r="Y99" i="9" s="1"/>
  <c r="Y100" i="9" s="1"/>
  <c r="Y101" i="9" s="1"/>
  <c r="Y102" i="9" s="1"/>
  <c r="Y103" i="9" s="1"/>
  <c r="BV107" i="9" s="1"/>
  <c r="CA97" i="9"/>
  <c r="Z178" i="9"/>
  <c r="BQ178" i="9"/>
  <c r="BW181" i="9"/>
  <c r="W106" i="9"/>
  <c r="BT109" i="9"/>
  <c r="BR156" i="9"/>
  <c r="AA156" i="9"/>
  <c r="BX160" i="9" s="1"/>
  <c r="V97" i="9"/>
  <c r="V98" i="9" s="1"/>
  <c r="V99" i="9" s="1"/>
  <c r="E97" i="9"/>
  <c r="D97" i="9"/>
  <c r="Z179" i="9" l="1"/>
  <c r="BQ179" i="9"/>
  <c r="BW182" i="9"/>
  <c r="AA157" i="9"/>
  <c r="BX161" i="9" s="1"/>
  <c r="BR157" i="9"/>
  <c r="W107" i="9"/>
  <c r="BT110" i="9"/>
  <c r="BN107" i="9"/>
  <c r="V100" i="9"/>
  <c r="B98" i="9"/>
  <c r="CA98" i="9" s="1"/>
  <c r="F97" i="9"/>
  <c r="Z180" i="9" l="1"/>
  <c r="BW183" i="9"/>
  <c r="BQ180" i="9"/>
  <c r="AA158" i="9"/>
  <c r="BR158" i="9"/>
  <c r="BT111" i="9"/>
  <c r="BN108" i="9"/>
  <c r="W108" i="9"/>
  <c r="V101" i="9"/>
  <c r="D98" i="9"/>
  <c r="E98" i="9"/>
  <c r="BR159" i="9" l="1"/>
  <c r="BX162" i="9"/>
  <c r="Z181" i="9"/>
  <c r="BQ181" i="9"/>
  <c r="BW184" i="9"/>
  <c r="BN109" i="9"/>
  <c r="BT112" i="9"/>
  <c r="AA159" i="9"/>
  <c r="V102" i="9"/>
  <c r="B99" i="9"/>
  <c r="CA99" i="9" s="1"/>
  <c r="F98" i="9"/>
  <c r="AA160" i="9" l="1"/>
  <c r="BX163" i="9"/>
  <c r="BR160" i="9"/>
  <c r="Z182" i="9"/>
  <c r="BW185" i="9"/>
  <c r="BQ182" i="9"/>
  <c r="V103" i="9"/>
  <c r="BS107" i="9" s="1"/>
  <c r="D99" i="9"/>
  <c r="E99" i="9"/>
  <c r="Z183" i="9" l="1"/>
  <c r="BQ183" i="9"/>
  <c r="BW186" i="9"/>
  <c r="AA161" i="9"/>
  <c r="BR161" i="9"/>
  <c r="BX164" i="9"/>
  <c r="V104" i="9"/>
  <c r="F99" i="9"/>
  <c r="B100" i="9"/>
  <c r="CA100" i="9" s="1"/>
  <c r="AA162" i="9" l="1"/>
  <c r="BX165" i="9"/>
  <c r="BR162" i="9"/>
  <c r="Z184" i="9"/>
  <c r="BQ184" i="9"/>
  <c r="BW187" i="9"/>
  <c r="V105" i="9"/>
  <c r="BS108" i="9"/>
  <c r="D100" i="9"/>
  <c r="E100" i="9"/>
  <c r="Z185" i="9" l="1"/>
  <c r="BQ185" i="9"/>
  <c r="BW188" i="9"/>
  <c r="AA163" i="9"/>
  <c r="BR163" i="9"/>
  <c r="BX166" i="9"/>
  <c r="V106" i="9"/>
  <c r="BS109" i="9"/>
  <c r="F100" i="9"/>
  <c r="B101" i="9"/>
  <c r="CA101" i="9" s="1"/>
  <c r="AA164" i="9" l="1"/>
  <c r="BX167" i="9"/>
  <c r="BR164" i="9"/>
  <c r="Z186" i="9"/>
  <c r="BW189" i="9"/>
  <c r="BQ186" i="9"/>
  <c r="BS110" i="9"/>
  <c r="V107" i="9"/>
  <c r="D101" i="9"/>
  <c r="E101" i="9"/>
  <c r="Z187" i="9" l="1"/>
  <c r="BQ187" i="9"/>
  <c r="BW190" i="9"/>
  <c r="AA165" i="9"/>
  <c r="BR165" i="9"/>
  <c r="BX168" i="9"/>
  <c r="BM108" i="9"/>
  <c r="BS111" i="9"/>
  <c r="V108" i="9"/>
  <c r="F101" i="9"/>
  <c r="B102" i="9"/>
  <c r="CA102" i="9" s="1"/>
  <c r="AA166" i="9" l="1"/>
  <c r="BR166" i="9"/>
  <c r="BX169" i="9"/>
  <c r="Z188" i="9"/>
  <c r="BW191" i="9"/>
  <c r="BQ188" i="9"/>
  <c r="BS112" i="9"/>
  <c r="BM109" i="9"/>
  <c r="V109" i="9"/>
  <c r="D102" i="9"/>
  <c r="E102" i="9"/>
  <c r="Z189" i="9" l="1"/>
  <c r="BQ189" i="9"/>
  <c r="BW192" i="9"/>
  <c r="AA167" i="9"/>
  <c r="BR167" i="9"/>
  <c r="BX170" i="9"/>
  <c r="BS113" i="9"/>
  <c r="BM110" i="9"/>
  <c r="V110" i="9"/>
  <c r="F102" i="9"/>
  <c r="B103" i="9"/>
  <c r="CA103" i="9" s="1"/>
  <c r="AA168" i="9" l="1"/>
  <c r="BX171" i="9"/>
  <c r="BR168" i="9"/>
  <c r="Z190" i="9"/>
  <c r="BW193" i="9"/>
  <c r="BQ190" i="9"/>
  <c r="V111" i="9"/>
  <c r="BS114" i="9"/>
  <c r="D103" i="9"/>
  <c r="E103" i="9"/>
  <c r="Z191" i="9" l="1"/>
  <c r="BQ191" i="9"/>
  <c r="BW194" i="9"/>
  <c r="AA169" i="9"/>
  <c r="BR169" i="9"/>
  <c r="BX172" i="9"/>
  <c r="V112" i="9"/>
  <c r="BM112" i="9"/>
  <c r="BS115" i="9"/>
  <c r="F103" i="9"/>
  <c r="B104" i="9"/>
  <c r="X104" i="9" l="1"/>
  <c r="CA104" i="9"/>
  <c r="Z192" i="9"/>
  <c r="BQ192" i="9"/>
  <c r="BW195" i="9"/>
  <c r="AA170" i="9"/>
  <c r="BR170" i="9"/>
  <c r="BX173" i="9"/>
  <c r="X105" i="9"/>
  <c r="BU108" i="9"/>
  <c r="AC112" i="9"/>
  <c r="BS116" i="9"/>
  <c r="BM113" i="9"/>
  <c r="V113" i="9"/>
  <c r="D104" i="9"/>
  <c r="Y104" i="9"/>
  <c r="E104" i="9"/>
  <c r="AA171" i="9" l="1"/>
  <c r="BX174" i="9"/>
  <c r="BR171" i="9"/>
  <c r="Z193" i="9"/>
  <c r="BW196" i="9"/>
  <c r="BQ193" i="9"/>
  <c r="Y105" i="9"/>
  <c r="BV108" i="9"/>
  <c r="AC113" i="9"/>
  <c r="AC114" i="9" s="1"/>
  <c r="AC115" i="9" s="1"/>
  <c r="AC116" i="9" s="1"/>
  <c r="AC117" i="9" s="1"/>
  <c r="AC118" i="9" s="1"/>
  <c r="AC119" i="9" s="1"/>
  <c r="AC120" i="9" s="1"/>
  <c r="AC121" i="9" s="1"/>
  <c r="AC122" i="9" s="1"/>
  <c r="AC123" i="9" s="1"/>
  <c r="AC124" i="9" s="1"/>
  <c r="AC125" i="9" s="1"/>
  <c r="AC126" i="9" s="1"/>
  <c r="AC127" i="9" s="1"/>
  <c r="AC128" i="9" s="1"/>
  <c r="AC129" i="9" s="1"/>
  <c r="AC130" i="9" s="1"/>
  <c r="AC131" i="9" s="1"/>
  <c r="BM114" i="9"/>
  <c r="BS117" i="9"/>
  <c r="X106" i="9"/>
  <c r="BU109" i="9"/>
  <c r="F104" i="9"/>
  <c r="B105" i="9"/>
  <c r="CA105" i="9" s="1"/>
  <c r="BW197" i="9" l="1"/>
  <c r="BQ194" i="9"/>
  <c r="Z194" i="9"/>
  <c r="AA172" i="9"/>
  <c r="BX175" i="9"/>
  <c r="BR172" i="9"/>
  <c r="AC132" i="9"/>
  <c r="AC133" i="9" s="1"/>
  <c r="AC134" i="9" s="1"/>
  <c r="AC135" i="9" s="1"/>
  <c r="AC136" i="9" s="1"/>
  <c r="AC137" i="9" s="1"/>
  <c r="AC138" i="9" s="1"/>
  <c r="AC139" i="9" s="1"/>
  <c r="AC140" i="9" s="1"/>
  <c r="AC141" i="9" s="1"/>
  <c r="AC142" i="9" s="1"/>
  <c r="X107" i="9"/>
  <c r="BO107" i="9"/>
  <c r="BU110" i="9"/>
  <c r="Y106" i="9"/>
  <c r="BV109" i="9"/>
  <c r="E105" i="9"/>
  <c r="D105" i="9"/>
  <c r="AA173" i="9" l="1"/>
  <c r="BR173" i="9"/>
  <c r="BX176" i="9"/>
  <c r="BQ195" i="9"/>
  <c r="BW198" i="9"/>
  <c r="Z195" i="9"/>
  <c r="BW199" i="9" s="1"/>
  <c r="BP107" i="9"/>
  <c r="BV110" i="9"/>
  <c r="Y107" i="9"/>
  <c r="X108" i="9"/>
  <c r="BU111" i="9"/>
  <c r="BO108" i="9"/>
  <c r="B106" i="9"/>
  <c r="CA106" i="9" s="1"/>
  <c r="F105" i="9"/>
  <c r="Z196" i="9" l="1"/>
  <c r="BW200" i="9" s="1"/>
  <c r="BQ196" i="9"/>
  <c r="AA174" i="9"/>
  <c r="BR174" i="9"/>
  <c r="BX177" i="9"/>
  <c r="BP108" i="9"/>
  <c r="BY108" i="9" s="1"/>
  <c r="BV111" i="9"/>
  <c r="Y108" i="9"/>
  <c r="BO109" i="9"/>
  <c r="BU112" i="9"/>
  <c r="E106" i="9"/>
  <c r="D106" i="9"/>
  <c r="AA175" i="9" l="1"/>
  <c r="BR175" i="9"/>
  <c r="BX178" i="9"/>
  <c r="Z197" i="9"/>
  <c r="BW201" i="9" s="1"/>
  <c r="BQ197" i="9"/>
  <c r="BV112" i="9"/>
  <c r="BP109" i="9"/>
  <c r="BY109" i="9" s="1"/>
  <c r="Y109" i="9"/>
  <c r="B107" i="9"/>
  <c r="CA107" i="9" s="1"/>
  <c r="F106" i="9"/>
  <c r="BQ198" i="9" l="1"/>
  <c r="Z198" i="9"/>
  <c r="AA176" i="9"/>
  <c r="BR176" i="9"/>
  <c r="BX179" i="9"/>
  <c r="Y110" i="9"/>
  <c r="BP110" i="9"/>
  <c r="BV113" i="9"/>
  <c r="E107" i="9"/>
  <c r="D107" i="9"/>
  <c r="BQ199" i="9" l="1"/>
  <c r="BW202" i="9"/>
  <c r="AA177" i="9"/>
  <c r="BR177" i="9"/>
  <c r="BX180" i="9"/>
  <c r="Z199" i="9"/>
  <c r="Y111" i="9"/>
  <c r="BV114" i="9"/>
  <c r="BP111" i="9"/>
  <c r="B108" i="9"/>
  <c r="CA108" i="9" s="1"/>
  <c r="F107" i="9"/>
  <c r="BQ200" i="9" l="1"/>
  <c r="BW203" i="9"/>
  <c r="Z200" i="9"/>
  <c r="AA178" i="9"/>
  <c r="BR178" i="9"/>
  <c r="BX181" i="9"/>
  <c r="BV115" i="9"/>
  <c r="BP112" i="9"/>
  <c r="Y112" i="9"/>
  <c r="E108" i="9"/>
  <c r="D108" i="9"/>
  <c r="BQ201" i="9" l="1"/>
  <c r="BW204" i="9"/>
  <c r="AA179" i="9"/>
  <c r="BX182" i="9"/>
  <c r="BR179" i="9"/>
  <c r="Z201" i="9"/>
  <c r="BV116" i="9"/>
  <c r="BP113" i="9"/>
  <c r="Y113" i="9"/>
  <c r="CB107" i="9"/>
  <c r="B109" i="9"/>
  <c r="F108" i="9"/>
  <c r="W109" i="9" l="1"/>
  <c r="CA109" i="9"/>
  <c r="BQ202" i="9"/>
  <c r="BW205" i="9"/>
  <c r="Z202" i="9"/>
  <c r="AA180" i="9"/>
  <c r="BR180" i="9"/>
  <c r="BX183" i="9"/>
  <c r="BP114" i="9"/>
  <c r="BV117" i="9"/>
  <c r="Y114" i="9"/>
  <c r="W110" i="9"/>
  <c r="BT113" i="9"/>
  <c r="BN110" i="9"/>
  <c r="E109" i="9"/>
  <c r="X109" i="9"/>
  <c r="D109" i="9"/>
  <c r="BW206" i="9" l="1"/>
  <c r="BQ203" i="9"/>
  <c r="AA181" i="9"/>
  <c r="BX184" i="9"/>
  <c r="BR181" i="9"/>
  <c r="Z203" i="9"/>
  <c r="BP115" i="9"/>
  <c r="BV118" i="9"/>
  <c r="Y115" i="9"/>
  <c r="X110" i="9"/>
  <c r="BO110" i="9"/>
  <c r="BY110" i="9" s="1"/>
  <c r="BU113" i="9"/>
  <c r="W111" i="9"/>
  <c r="BT114" i="9"/>
  <c r="BN111" i="9"/>
  <c r="BZ109" i="9"/>
  <c r="F109" i="9"/>
  <c r="B110" i="9"/>
  <c r="CA110" i="9" s="1"/>
  <c r="BW207" i="9" l="1"/>
  <c r="BQ204" i="9"/>
  <c r="Z204" i="9"/>
  <c r="AA182" i="9"/>
  <c r="BX185" i="9"/>
  <c r="BR182" i="9"/>
  <c r="X111" i="9"/>
  <c r="BU114" i="9"/>
  <c r="BO111" i="9"/>
  <c r="W112" i="9"/>
  <c r="BN112" i="9"/>
  <c r="BT115" i="9"/>
  <c r="Y116" i="9"/>
  <c r="BP116" i="9"/>
  <c r="BV119" i="9"/>
  <c r="D110" i="9"/>
  <c r="E110" i="9"/>
  <c r="BQ205" i="9" l="1"/>
  <c r="BW208" i="9"/>
  <c r="AA183" i="9"/>
  <c r="BR183" i="9"/>
  <c r="BX186" i="9"/>
  <c r="Z205" i="9"/>
  <c r="W113" i="9"/>
  <c r="BT116" i="9"/>
  <c r="BN113" i="9"/>
  <c r="BZ110" i="9"/>
  <c r="CB109" i="9"/>
  <c r="Y117" i="9"/>
  <c r="BP117" i="9"/>
  <c r="BV120" i="9"/>
  <c r="BO112" i="9"/>
  <c r="BY112" i="9" s="1"/>
  <c r="BU115" i="9"/>
  <c r="X112" i="9"/>
  <c r="F110" i="9"/>
  <c r="B111" i="9"/>
  <c r="CA111" i="9" s="1"/>
  <c r="BQ206" i="9" l="1"/>
  <c r="BW209" i="9"/>
  <c r="Z206" i="9"/>
  <c r="AA184" i="9"/>
  <c r="BR184" i="9"/>
  <c r="BX187" i="9"/>
  <c r="BU116" i="9"/>
  <c r="BO113" i="9"/>
  <c r="BY113" i="9" s="1"/>
  <c r="X113" i="9"/>
  <c r="BN114" i="9"/>
  <c r="BT117" i="9"/>
  <c r="BP118" i="9"/>
  <c r="BV121" i="9"/>
  <c r="Y118" i="9"/>
  <c r="AG420" i="9"/>
  <c r="AG421" i="9" s="1"/>
  <c r="D111" i="9"/>
  <c r="E111" i="9"/>
  <c r="BQ207" i="9" l="1"/>
  <c r="BW210" i="9"/>
  <c r="AA185" i="9"/>
  <c r="BR185" i="9"/>
  <c r="BX188" i="9"/>
  <c r="Z207" i="9"/>
  <c r="BU117" i="9"/>
  <c r="BO114" i="9"/>
  <c r="BY114" i="9" s="1"/>
  <c r="X114" i="9"/>
  <c r="CB110" i="9"/>
  <c r="BP119" i="9"/>
  <c r="BV122" i="9"/>
  <c r="Y119" i="9"/>
  <c r="F111" i="9"/>
  <c r="B112" i="9"/>
  <c r="CA112" i="9" s="1"/>
  <c r="BW211" i="9" l="1"/>
  <c r="BQ208" i="9"/>
  <c r="Z208" i="9"/>
  <c r="AA186" i="9"/>
  <c r="BR186" i="9"/>
  <c r="BX189" i="9"/>
  <c r="X115" i="9"/>
  <c r="BU118" i="9"/>
  <c r="BO115" i="9"/>
  <c r="Y120" i="9"/>
  <c r="BV123" i="9"/>
  <c r="BP120" i="9"/>
  <c r="D112" i="9"/>
  <c r="E112" i="9"/>
  <c r="CB111" i="9" s="1"/>
  <c r="BW212" i="9" l="1"/>
  <c r="BQ209" i="9"/>
  <c r="AA187" i="9"/>
  <c r="BX190" i="9"/>
  <c r="BR187" i="9"/>
  <c r="Z209" i="9"/>
  <c r="Y121" i="9"/>
  <c r="BV124" i="9"/>
  <c r="BP121" i="9"/>
  <c r="X116" i="9"/>
  <c r="BU119" i="9"/>
  <c r="BO116" i="9"/>
  <c r="F112" i="9"/>
  <c r="B113" i="9"/>
  <c r="CA113" i="9" s="1"/>
  <c r="BQ210" i="9" l="1"/>
  <c r="BW213" i="9"/>
  <c r="Z210" i="9"/>
  <c r="AA188" i="9"/>
  <c r="BR188" i="9"/>
  <c r="BX191" i="9"/>
  <c r="BP122" i="9"/>
  <c r="BV125" i="9"/>
  <c r="Y122" i="9"/>
  <c r="BU120" i="9"/>
  <c r="BO117" i="9"/>
  <c r="X117" i="9"/>
  <c r="D113" i="9"/>
  <c r="E113" i="9"/>
  <c r="BQ211" i="9" l="1"/>
  <c r="BW214" i="9"/>
  <c r="AA189" i="9"/>
  <c r="BX192" i="9"/>
  <c r="BR189" i="9"/>
  <c r="Z211" i="9"/>
  <c r="BV126" i="9"/>
  <c r="BP123" i="9"/>
  <c r="Y123" i="9"/>
  <c r="BZ113" i="9"/>
  <c r="BO118" i="9"/>
  <c r="BU121" i="9"/>
  <c r="X118" i="9"/>
  <c r="F113" i="9"/>
  <c r="B114" i="9"/>
  <c r="V114" i="9" l="1"/>
  <c r="CA114" i="9"/>
  <c r="BQ212" i="9"/>
  <c r="BW215" i="9"/>
  <c r="Z212" i="9"/>
  <c r="AA190" i="9"/>
  <c r="BX193" i="9"/>
  <c r="BR190" i="9"/>
  <c r="BP124" i="9"/>
  <c r="BV127" i="9"/>
  <c r="Y124" i="9"/>
  <c r="V115" i="9"/>
  <c r="BO119" i="9"/>
  <c r="BU122" i="9"/>
  <c r="X119" i="9"/>
  <c r="D114" i="9"/>
  <c r="W114" i="9"/>
  <c r="E114" i="9"/>
  <c r="Z213" i="9" l="1"/>
  <c r="BQ213" i="9"/>
  <c r="BW216" i="9"/>
  <c r="AA191" i="9"/>
  <c r="BR191" i="9"/>
  <c r="BX194" i="9"/>
  <c r="BV128" i="9"/>
  <c r="BP125" i="9"/>
  <c r="W115" i="9"/>
  <c r="BN115" i="9"/>
  <c r="BT118" i="9"/>
  <c r="V116" i="9"/>
  <c r="BM116" i="9"/>
  <c r="BS119" i="9"/>
  <c r="BZ114" i="9"/>
  <c r="CB113" i="9"/>
  <c r="X120" i="9"/>
  <c r="BU123" i="9"/>
  <c r="BO120" i="9"/>
  <c r="F114" i="9"/>
  <c r="B115" i="9"/>
  <c r="CA115" i="9" s="1"/>
  <c r="Z214" i="9" l="1"/>
  <c r="BW217" i="9"/>
  <c r="BQ214" i="9"/>
  <c r="AA192" i="9"/>
  <c r="BR192" i="9"/>
  <c r="BX195" i="9"/>
  <c r="W116" i="9"/>
  <c r="BT119" i="9"/>
  <c r="BN116" i="9"/>
  <c r="BY116" i="9" s="1"/>
  <c r="BM117" i="9"/>
  <c r="BS120" i="9"/>
  <c r="V117" i="9"/>
  <c r="AE116" i="9"/>
  <c r="AE117" i="9" s="1"/>
  <c r="AE118" i="9" s="1"/>
  <c r="AE119" i="9" s="1"/>
  <c r="AE120" i="9" s="1"/>
  <c r="AE121" i="9" s="1"/>
  <c r="AE122" i="9" s="1"/>
  <c r="AE123" i="9" s="1"/>
  <c r="AE124" i="9" s="1"/>
  <c r="AE125" i="9" s="1"/>
  <c r="AE126" i="9" s="1"/>
  <c r="AE127" i="9" s="1"/>
  <c r="AE128" i="9" s="1"/>
  <c r="AE129" i="9" s="1"/>
  <c r="AE130" i="9" s="1"/>
  <c r="AE131" i="9" s="1"/>
  <c r="AE132" i="9" s="1"/>
  <c r="AE133" i="9" s="1"/>
  <c r="AE134" i="9" s="1"/>
  <c r="AE135" i="9" s="1"/>
  <c r="AE136" i="9" s="1"/>
  <c r="AE137" i="9" s="1"/>
  <c r="AE138" i="9" s="1"/>
  <c r="AE139" i="9" s="1"/>
  <c r="AE140" i="9" s="1"/>
  <c r="AE141" i="9" s="1"/>
  <c r="AE142" i="9" s="1"/>
  <c r="AE143" i="9" s="1"/>
  <c r="AE144" i="9" s="1"/>
  <c r="AE145" i="9" s="1"/>
  <c r="AE146" i="9" s="1"/>
  <c r="AE147" i="9" s="1"/>
  <c r="AE148" i="9" s="1"/>
  <c r="AE149" i="9" s="1"/>
  <c r="AE150" i="9" s="1"/>
  <c r="AE151" i="9" s="1"/>
  <c r="AE152" i="9" s="1"/>
  <c r="AE153" i="9" s="1"/>
  <c r="AE154" i="9" s="1"/>
  <c r="AE155" i="9" s="1"/>
  <c r="AE156" i="9" s="1"/>
  <c r="AE157" i="9" s="1"/>
  <c r="AE158" i="9" s="1"/>
  <c r="AE159" i="9" s="1"/>
  <c r="AE160" i="9" s="1"/>
  <c r="AE161" i="9" s="1"/>
  <c r="AE162" i="9" s="1"/>
  <c r="AE163" i="9" s="1"/>
  <c r="AE164" i="9" s="1"/>
  <c r="AE165" i="9" s="1"/>
  <c r="AE166" i="9" s="1"/>
  <c r="AE167" i="9" s="1"/>
  <c r="AE168" i="9" s="1"/>
  <c r="AE169" i="9" s="1"/>
  <c r="X121" i="9"/>
  <c r="BU124" i="9"/>
  <c r="BO121" i="9"/>
  <c r="D115" i="9"/>
  <c r="E115" i="9"/>
  <c r="Z215" i="9" l="1"/>
  <c r="BQ215" i="9"/>
  <c r="BW218" i="9"/>
  <c r="AA193" i="9"/>
  <c r="BX196" i="9"/>
  <c r="BR193" i="9"/>
  <c r="V118" i="9"/>
  <c r="BS121" i="9"/>
  <c r="BM118" i="9"/>
  <c r="CB114" i="9"/>
  <c r="BT120" i="9"/>
  <c r="BN117" i="9"/>
  <c r="BY117" i="9" s="1"/>
  <c r="W117" i="9"/>
  <c r="BU125" i="9"/>
  <c r="BO122" i="9"/>
  <c r="X122" i="9"/>
  <c r="F115" i="9"/>
  <c r="B116" i="9"/>
  <c r="CA116" i="9" s="1"/>
  <c r="Z216" i="9" l="1"/>
  <c r="BQ216" i="9"/>
  <c r="BW219" i="9"/>
  <c r="BR194" i="9"/>
  <c r="BX197" i="9"/>
  <c r="AA194" i="9"/>
  <c r="BU126" i="9"/>
  <c r="BO123" i="9"/>
  <c r="X123" i="9"/>
  <c r="BM119" i="9"/>
  <c r="BS122" i="9"/>
  <c r="BT121" i="9"/>
  <c r="BN118" i="9"/>
  <c r="W118" i="9"/>
  <c r="AH420" i="9"/>
  <c r="AH421" i="9" s="1"/>
  <c r="D116" i="9"/>
  <c r="E116" i="9"/>
  <c r="Z217" i="9" l="1"/>
  <c r="BQ217" i="9"/>
  <c r="BW220" i="9"/>
  <c r="BR195" i="9"/>
  <c r="BX198" i="9"/>
  <c r="AA195" i="9"/>
  <c r="BX199" i="9" s="1"/>
  <c r="BT122" i="9"/>
  <c r="BN119" i="9"/>
  <c r="BY119" i="9" s="1"/>
  <c r="W119" i="9"/>
  <c r="CB115" i="9"/>
  <c r="BU127" i="9"/>
  <c r="BO124" i="9"/>
  <c r="X124" i="9"/>
  <c r="F116" i="9"/>
  <c r="B117" i="9"/>
  <c r="CA117" i="9" s="1"/>
  <c r="Z218" i="9" l="1"/>
  <c r="BQ218" i="9"/>
  <c r="BW221" i="9"/>
  <c r="AA196" i="9"/>
  <c r="BX200" i="9" s="1"/>
  <c r="BR196" i="9"/>
  <c r="BU128" i="9"/>
  <c r="BO125" i="9"/>
  <c r="X125" i="9"/>
  <c r="W120" i="9"/>
  <c r="BN120" i="9"/>
  <c r="BT123" i="9"/>
  <c r="D117" i="9"/>
  <c r="E117" i="9"/>
  <c r="Z219" i="9" l="1"/>
  <c r="BQ219" i="9"/>
  <c r="BW222" i="9"/>
  <c r="AA197" i="9"/>
  <c r="BX201" i="9" s="1"/>
  <c r="BR197" i="9"/>
  <c r="W121" i="9"/>
  <c r="BT124" i="9"/>
  <c r="BN121" i="9"/>
  <c r="X126" i="9"/>
  <c r="BU129" i="9"/>
  <c r="BO126" i="9"/>
  <c r="BZ117" i="9"/>
  <c r="B118" i="9"/>
  <c r="CA118" i="9" s="1"/>
  <c r="F117" i="9"/>
  <c r="Z220" i="9" l="1"/>
  <c r="BQ220" i="9"/>
  <c r="BW223" i="9"/>
  <c r="BR198" i="9"/>
  <c r="AA198" i="9"/>
  <c r="BO127" i="9"/>
  <c r="BU130" i="9"/>
  <c r="X127" i="9"/>
  <c r="BT125" i="9"/>
  <c r="BN122" i="9"/>
  <c r="W122" i="9"/>
  <c r="E118" i="9"/>
  <c r="D118" i="9"/>
  <c r="BR199" i="9" l="1"/>
  <c r="BX202" i="9"/>
  <c r="Z221" i="9"/>
  <c r="BQ221" i="9"/>
  <c r="BW224" i="9"/>
  <c r="AA199" i="9"/>
  <c r="BU131" i="9"/>
  <c r="BO128" i="9"/>
  <c r="X128" i="9"/>
  <c r="BN123" i="9"/>
  <c r="BT126" i="9"/>
  <c r="W123" i="9"/>
  <c r="CB117" i="9"/>
  <c r="B119" i="9"/>
  <c r="CA119" i="9" s="1"/>
  <c r="F118" i="9"/>
  <c r="Z222" i="9" l="1"/>
  <c r="BQ222" i="9"/>
  <c r="BW225" i="9"/>
  <c r="BR200" i="9"/>
  <c r="BX203" i="9"/>
  <c r="AA200" i="9"/>
  <c r="BO129" i="9"/>
  <c r="BU132" i="9"/>
  <c r="X129" i="9"/>
  <c r="BN124" i="9"/>
  <c r="BT127" i="9"/>
  <c r="W124" i="9"/>
  <c r="E119" i="9"/>
  <c r="V119" i="9"/>
  <c r="D119" i="9"/>
  <c r="BR201" i="9" l="1"/>
  <c r="BX204" i="9"/>
  <c r="Z223" i="9"/>
  <c r="BQ223" i="9"/>
  <c r="BW226" i="9"/>
  <c r="AA201" i="9"/>
  <c r="CB118" i="9"/>
  <c r="V120" i="9"/>
  <c r="BM120" i="9"/>
  <c r="BY120" i="9" s="1"/>
  <c r="BS123" i="9"/>
  <c r="BO130" i="9"/>
  <c r="BU133" i="9"/>
  <c r="BT128" i="9"/>
  <c r="BN125" i="9"/>
  <c r="W125" i="9"/>
  <c r="B120" i="9"/>
  <c r="CA120" i="9" s="1"/>
  <c r="F119" i="9"/>
  <c r="Z224" i="9" l="1"/>
  <c r="BQ224" i="9"/>
  <c r="BW227" i="9"/>
  <c r="BX205" i="9"/>
  <c r="BR202" i="9"/>
  <c r="AA202" i="9"/>
  <c r="BM121" i="9"/>
  <c r="BY121" i="9" s="1"/>
  <c r="BS124" i="9"/>
  <c r="W126" i="9"/>
  <c r="BN126" i="9"/>
  <c r="BT129" i="9"/>
  <c r="AI420" i="9"/>
  <c r="AI421" i="9" s="1"/>
  <c r="E120" i="9"/>
  <c r="D120" i="9"/>
  <c r="BR203" i="9" l="1"/>
  <c r="BX206" i="9"/>
  <c r="Z225" i="9"/>
  <c r="BW228" i="9"/>
  <c r="BQ225" i="9"/>
  <c r="AA203" i="9"/>
  <c r="CB119" i="9"/>
  <c r="BT130" i="9"/>
  <c r="BN127" i="9"/>
  <c r="W127" i="9"/>
  <c r="B121" i="9"/>
  <c r="F120" i="9"/>
  <c r="V121" i="9" l="1"/>
  <c r="BS125" i="9" s="1"/>
  <c r="CA121" i="9"/>
  <c r="Z226" i="9"/>
  <c r="BQ226" i="9"/>
  <c r="BW229" i="9"/>
  <c r="BR204" i="9"/>
  <c r="BX207" i="9"/>
  <c r="AA204" i="9"/>
  <c r="BM122" i="9"/>
  <c r="BY122" i="9" s="1"/>
  <c r="W128" i="9"/>
  <c r="BT131" i="9"/>
  <c r="BN128" i="9"/>
  <c r="E121" i="9"/>
  <c r="CB120" i="9" s="1"/>
  <c r="D121" i="9"/>
  <c r="BR205" i="9" l="1"/>
  <c r="BX208" i="9"/>
  <c r="Z227" i="9"/>
  <c r="BQ227" i="9"/>
  <c r="BW230" i="9"/>
  <c r="AA205" i="9"/>
  <c r="BT132" i="9"/>
  <c r="BN129" i="9"/>
  <c r="W129" i="9"/>
  <c r="B122" i="9"/>
  <c r="F121" i="9"/>
  <c r="V122" i="9" l="1"/>
  <c r="V123" i="9" s="1"/>
  <c r="BM124" i="9" s="1"/>
  <c r="BY124" i="9" s="1"/>
  <c r="CA122" i="9"/>
  <c r="Z228" i="9"/>
  <c r="BQ228" i="9"/>
  <c r="BW231" i="9"/>
  <c r="BR206" i="9"/>
  <c r="BX209" i="9"/>
  <c r="AA206" i="9"/>
  <c r="BT133" i="9"/>
  <c r="BN130" i="9"/>
  <c r="W130" i="9"/>
  <c r="E122" i="9"/>
  <c r="D122" i="9"/>
  <c r="BM123" i="9" l="1"/>
  <c r="BY123" i="9" s="1"/>
  <c r="BS126" i="9"/>
  <c r="BS127" i="9"/>
  <c r="BX210" i="9"/>
  <c r="BR207" i="9"/>
  <c r="Z229" i="9"/>
  <c r="BW232" i="9"/>
  <c r="BQ229" i="9"/>
  <c r="AA207" i="9"/>
  <c r="V125" i="9"/>
  <c r="W131" i="9"/>
  <c r="BN131" i="9"/>
  <c r="BT134" i="9"/>
  <c r="BZ122" i="9"/>
  <c r="F122" i="9"/>
  <c r="B123" i="9"/>
  <c r="CA123" i="9" s="1"/>
  <c r="BR208" i="9" l="1"/>
  <c r="BX211" i="9"/>
  <c r="Z230" i="9"/>
  <c r="BW233" i="9"/>
  <c r="BQ230" i="9"/>
  <c r="AA208" i="9"/>
  <c r="V126" i="9"/>
  <c r="BS129" i="9"/>
  <c r="BT135" i="9"/>
  <c r="BN132" i="9"/>
  <c r="W132" i="9"/>
  <c r="E123" i="9"/>
  <c r="D123" i="9"/>
  <c r="Z231" i="9" l="1"/>
  <c r="BQ231" i="9"/>
  <c r="BW234" i="9"/>
  <c r="BR209" i="9"/>
  <c r="BX212" i="9"/>
  <c r="AA209" i="9"/>
  <c r="BS130" i="9"/>
  <c r="BM127" i="9"/>
  <c r="V127" i="9"/>
  <c r="BZ123" i="9"/>
  <c r="CB122" i="9"/>
  <c r="BN133" i="9"/>
  <c r="BT136" i="9"/>
  <c r="W133" i="9"/>
  <c r="F123" i="9"/>
  <c r="B124" i="9"/>
  <c r="V124" i="9" l="1"/>
  <c r="CA124" i="9"/>
  <c r="BR210" i="9"/>
  <c r="BX213" i="9"/>
  <c r="Z232" i="9"/>
  <c r="BQ232" i="9"/>
  <c r="BW235" i="9"/>
  <c r="AA210" i="9"/>
  <c r="BM125" i="9"/>
  <c r="BY125" i="9" s="1"/>
  <c r="BS128" i="9"/>
  <c r="V128" i="9"/>
  <c r="BS131" i="9"/>
  <c r="BM128" i="9"/>
  <c r="BT137" i="9"/>
  <c r="BN134" i="9"/>
  <c r="W134" i="9"/>
  <c r="E124" i="9"/>
  <c r="D124" i="9"/>
  <c r="BR211" i="9" l="1"/>
  <c r="BX214" i="9"/>
  <c r="Z233" i="9"/>
  <c r="BQ233" i="9"/>
  <c r="BW236" i="9"/>
  <c r="AA211" i="9"/>
  <c r="V129" i="9"/>
  <c r="BS132" i="9"/>
  <c r="BM129" i="9"/>
  <c r="CB123" i="9"/>
  <c r="BZ124" i="9"/>
  <c r="BN135" i="9"/>
  <c r="BT138" i="9"/>
  <c r="F124" i="9"/>
  <c r="B125" i="9"/>
  <c r="CA125" i="9" s="1"/>
  <c r="Z234" i="9" l="1"/>
  <c r="BW237" i="9"/>
  <c r="BQ234" i="9"/>
  <c r="BX215" i="9"/>
  <c r="BR212" i="9"/>
  <c r="AA212" i="9"/>
  <c r="BS133" i="9"/>
  <c r="V130" i="9"/>
  <c r="E125" i="9"/>
  <c r="CB124" i="9" s="1"/>
  <c r="D125" i="9"/>
  <c r="Y125" i="9"/>
  <c r="AA213" i="9" l="1"/>
  <c r="BX216" i="9"/>
  <c r="BR213" i="9"/>
  <c r="Z235" i="9"/>
  <c r="BW238" i="9"/>
  <c r="BQ235" i="9"/>
  <c r="BS134" i="9"/>
  <c r="BM131" i="9"/>
  <c r="V131" i="9"/>
  <c r="BZ125" i="9"/>
  <c r="AD133" i="9"/>
  <c r="AD134" i="9" s="1"/>
  <c r="Y126" i="9"/>
  <c r="BV129" i="9"/>
  <c r="BP126" i="9"/>
  <c r="F125" i="9"/>
  <c r="B126" i="9"/>
  <c r="CA126" i="9" s="1"/>
  <c r="Z236" i="9" l="1"/>
  <c r="BQ236" i="9"/>
  <c r="BW239" i="9"/>
  <c r="AA214" i="9"/>
  <c r="BR214" i="9"/>
  <c r="BX217" i="9"/>
  <c r="BS135" i="9"/>
  <c r="BM132" i="9"/>
  <c r="V132" i="9"/>
  <c r="Y127" i="9"/>
  <c r="BV130" i="9"/>
  <c r="BP127" i="9"/>
  <c r="BY127" i="9" s="1"/>
  <c r="E126" i="9"/>
  <c r="D126" i="9"/>
  <c r="AA215" i="9" l="1"/>
  <c r="BR215" i="9"/>
  <c r="BX218" i="9"/>
  <c r="Z237" i="9"/>
  <c r="BQ237" i="9"/>
  <c r="BW240" i="9"/>
  <c r="BS136" i="9"/>
  <c r="BM133" i="9"/>
  <c r="V133" i="9"/>
  <c r="Y128" i="9"/>
  <c r="BP128" i="9"/>
  <c r="BY128" i="9" s="1"/>
  <c r="BV131" i="9"/>
  <c r="CB125" i="9"/>
  <c r="CE115" i="9" s="1"/>
  <c r="AD135" i="9"/>
  <c r="AD136" i="9" s="1"/>
  <c r="AD137" i="9" s="1"/>
  <c r="AD138" i="9" s="1"/>
  <c r="AD139" i="9" s="1"/>
  <c r="AD140" i="9" s="1"/>
  <c r="AD141" i="9" s="1"/>
  <c r="AD142" i="9" s="1"/>
  <c r="AD143" i="9" s="1"/>
  <c r="AD144" i="9" s="1"/>
  <c r="AD145" i="9" s="1"/>
  <c r="AD146" i="9" s="1"/>
  <c r="AD147" i="9" s="1"/>
  <c r="AD148" i="9" s="1"/>
  <c r="AD149" i="9" s="1"/>
  <c r="F126" i="9"/>
  <c r="B127" i="9"/>
  <c r="CA127" i="9" s="1"/>
  <c r="Z238" i="9" l="1"/>
  <c r="BQ238" i="9"/>
  <c r="BW241" i="9"/>
  <c r="AA216" i="9"/>
  <c r="BR216" i="9"/>
  <c r="BX219" i="9"/>
  <c r="BS137" i="9"/>
  <c r="V134" i="9"/>
  <c r="Y129" i="9"/>
  <c r="BV132" i="9"/>
  <c r="BP129" i="9"/>
  <c r="BY129" i="9" s="1"/>
  <c r="AJ420" i="9"/>
  <c r="AJ421" i="9" s="1"/>
  <c r="E127" i="9"/>
  <c r="D127" i="9"/>
  <c r="AA217" i="9" l="1"/>
  <c r="BX220" i="9"/>
  <c r="BR217" i="9"/>
  <c r="Z239" i="9"/>
  <c r="BQ239" i="9"/>
  <c r="BW242" i="9"/>
  <c r="BM135" i="9"/>
  <c r="V135" i="9"/>
  <c r="BS138" i="9"/>
  <c r="CB126" i="9"/>
  <c r="Y130" i="9"/>
  <c r="BV133" i="9"/>
  <c r="BP130" i="9"/>
  <c r="B128" i="9"/>
  <c r="CA128" i="9" s="1"/>
  <c r="F127" i="9"/>
  <c r="Z240" i="9" l="1"/>
  <c r="BQ240" i="9"/>
  <c r="BW243" i="9"/>
  <c r="AA218" i="9"/>
  <c r="BX221" i="9"/>
  <c r="BR218" i="9"/>
  <c r="BS139" i="9"/>
  <c r="BM136" i="9"/>
  <c r="V136" i="9"/>
  <c r="Y131" i="9"/>
  <c r="BP131" i="9"/>
  <c r="BV134" i="9"/>
  <c r="E128" i="9"/>
  <c r="D128" i="9"/>
  <c r="AA219" i="9" l="1"/>
  <c r="BR219" i="9"/>
  <c r="BX222" i="9"/>
  <c r="Z241" i="9"/>
  <c r="BQ241" i="9"/>
  <c r="BW244" i="9"/>
  <c r="BS140" i="9"/>
  <c r="BM137" i="9"/>
  <c r="V137" i="9"/>
  <c r="CB127" i="9"/>
  <c r="Y132" i="9"/>
  <c r="BV135" i="9"/>
  <c r="BP132" i="9"/>
  <c r="B129" i="9"/>
  <c r="CA129" i="9" s="1"/>
  <c r="F128" i="9"/>
  <c r="AA220" i="9" l="1"/>
  <c r="BR220" i="9"/>
  <c r="BX223" i="9"/>
  <c r="Z242" i="9"/>
  <c r="BQ242" i="9"/>
  <c r="BW245" i="9"/>
  <c r="V138" i="9"/>
  <c r="BS141" i="9"/>
  <c r="Y133" i="9"/>
  <c r="BP133" i="9"/>
  <c r="BV136" i="9"/>
  <c r="E129" i="9"/>
  <c r="CB128" i="9" s="1"/>
  <c r="D129" i="9"/>
  <c r="Z243" i="9" l="1"/>
  <c r="BQ243" i="9"/>
  <c r="BW246" i="9"/>
  <c r="AA221" i="9"/>
  <c r="BR221" i="9"/>
  <c r="BX224" i="9"/>
  <c r="V139" i="9"/>
  <c r="BM139" i="9"/>
  <c r="BS142" i="9"/>
  <c r="Y134" i="9"/>
  <c r="BV137" i="9"/>
  <c r="BP134" i="9"/>
  <c r="B130" i="9"/>
  <c r="CA130" i="9" s="1"/>
  <c r="F129" i="9"/>
  <c r="AA222" i="9" l="1"/>
  <c r="BR222" i="9"/>
  <c r="BX225" i="9"/>
  <c r="Z244" i="9"/>
  <c r="BQ244" i="9"/>
  <c r="BW247" i="9"/>
  <c r="BM140" i="9"/>
  <c r="BS143" i="9"/>
  <c r="Y135" i="9"/>
  <c r="BP135" i="9"/>
  <c r="BV138" i="9"/>
  <c r="D130" i="9"/>
  <c r="X130" i="9"/>
  <c r="E130" i="9"/>
  <c r="Z245" i="9" l="1"/>
  <c r="BQ245" i="9"/>
  <c r="BW248" i="9"/>
  <c r="AA223" i="9"/>
  <c r="BR223" i="9"/>
  <c r="BX226" i="9"/>
  <c r="X131" i="9"/>
  <c r="BU134" i="9"/>
  <c r="BO131" i="9"/>
  <c r="BY131" i="9" s="1"/>
  <c r="Y136" i="9"/>
  <c r="BV139" i="9"/>
  <c r="BP136" i="9"/>
  <c r="B131" i="9"/>
  <c r="CA131" i="9" s="1"/>
  <c r="F130" i="9"/>
  <c r="AA224" i="9" l="1"/>
  <c r="BR224" i="9"/>
  <c r="BX227" i="9"/>
  <c r="Z246" i="9"/>
  <c r="BQ246" i="9"/>
  <c r="BW249" i="9"/>
  <c r="Y137" i="9"/>
  <c r="BV140" i="9"/>
  <c r="BP137" i="9"/>
  <c r="X132" i="9"/>
  <c r="BU135" i="9"/>
  <c r="BO132" i="9"/>
  <c r="BY132" i="9" s="1"/>
  <c r="D131" i="9"/>
  <c r="E131" i="9"/>
  <c r="Z247" i="9" l="1"/>
  <c r="BQ247" i="9"/>
  <c r="BW250" i="9"/>
  <c r="AA225" i="9"/>
  <c r="BR225" i="9"/>
  <c r="BX228" i="9"/>
  <c r="CB130" i="9"/>
  <c r="X133" i="9"/>
  <c r="BO133" i="9"/>
  <c r="BY133" i="9" s="1"/>
  <c r="BU136" i="9"/>
  <c r="Y138" i="9"/>
  <c r="BV141" i="9"/>
  <c r="BP138" i="9"/>
  <c r="B132" i="9"/>
  <c r="CA132" i="9" s="1"/>
  <c r="F131" i="9"/>
  <c r="AA226" i="9" l="1"/>
  <c r="BR226" i="9"/>
  <c r="BX229" i="9"/>
  <c r="Z248" i="9"/>
  <c r="BW251" i="9"/>
  <c r="BQ248" i="9"/>
  <c r="X134" i="9"/>
  <c r="BO134" i="9"/>
  <c r="BU137" i="9"/>
  <c r="Y139" i="9"/>
  <c r="BV142" i="9"/>
  <c r="BP139" i="9"/>
  <c r="E132" i="9"/>
  <c r="D132" i="9"/>
  <c r="Z249" i="9" l="1"/>
  <c r="BQ249" i="9"/>
  <c r="BW252" i="9"/>
  <c r="AA227" i="9"/>
  <c r="BR227" i="9"/>
  <c r="BX230" i="9"/>
  <c r="CB131" i="9"/>
  <c r="X135" i="9"/>
  <c r="BU138" i="9"/>
  <c r="BO135" i="9"/>
  <c r="BY135" i="9" s="1"/>
  <c r="Y140" i="9"/>
  <c r="BP140" i="9"/>
  <c r="BV143" i="9"/>
  <c r="AK420" i="9"/>
  <c r="AK421" i="9" s="1"/>
  <c r="B133" i="9"/>
  <c r="CA133" i="9" s="1"/>
  <c r="F132" i="9"/>
  <c r="AA228" i="9" l="1"/>
  <c r="BX231" i="9"/>
  <c r="BR228" i="9"/>
  <c r="Z250" i="9"/>
  <c r="BQ250" i="9"/>
  <c r="BW253" i="9"/>
  <c r="X136" i="9"/>
  <c r="BO136" i="9"/>
  <c r="BU139" i="9"/>
  <c r="Y141" i="9"/>
  <c r="BP141" i="9"/>
  <c r="BV144" i="9"/>
  <c r="E133" i="9"/>
  <c r="D133" i="9"/>
  <c r="AA229" i="9" l="1"/>
  <c r="BR229" i="9"/>
  <c r="BX232" i="9"/>
  <c r="Z251" i="9"/>
  <c r="BQ251" i="9"/>
  <c r="BW254" i="9"/>
  <c r="Y142" i="9"/>
  <c r="BV145" i="9"/>
  <c r="BP142" i="9"/>
  <c r="CB132" i="9"/>
  <c r="X137" i="9"/>
  <c r="BU140" i="9"/>
  <c r="BO137" i="9"/>
  <c r="B134" i="9"/>
  <c r="CA134" i="9" s="1"/>
  <c r="F133" i="9"/>
  <c r="Z252" i="9" l="1"/>
  <c r="BQ252" i="9"/>
  <c r="BW255" i="9"/>
  <c r="AA230" i="9"/>
  <c r="BR230" i="9"/>
  <c r="BX233" i="9"/>
  <c r="X138" i="9"/>
  <c r="BU141" i="9"/>
  <c r="BO138" i="9"/>
  <c r="Y143" i="9"/>
  <c r="BV146" i="9"/>
  <c r="BP143" i="9"/>
  <c r="E134" i="9"/>
  <c r="D134" i="9"/>
  <c r="AA231" i="9" l="1"/>
  <c r="BR231" i="9"/>
  <c r="BX234" i="9"/>
  <c r="Z253" i="9"/>
  <c r="BW256" i="9"/>
  <c r="BQ253" i="9"/>
  <c r="Y144" i="9"/>
  <c r="BV147" i="9"/>
  <c r="BP144" i="9"/>
  <c r="CB133" i="9"/>
  <c r="X139" i="9"/>
  <c r="BU142" i="9"/>
  <c r="BO139" i="9"/>
  <c r="B135" i="9"/>
  <c r="CA135" i="9" s="1"/>
  <c r="F134" i="9"/>
  <c r="Z254" i="9" l="1"/>
  <c r="BQ254" i="9"/>
  <c r="BW257" i="9"/>
  <c r="AA232" i="9"/>
  <c r="BR232" i="9"/>
  <c r="BX235" i="9"/>
  <c r="X140" i="9"/>
  <c r="BU143" i="9"/>
  <c r="BO140" i="9"/>
  <c r="Y145" i="9"/>
  <c r="BV148" i="9"/>
  <c r="BP145" i="9"/>
  <c r="W135" i="9"/>
  <c r="E135" i="9"/>
  <c r="D135" i="9"/>
  <c r="AA233" i="9" l="1"/>
  <c r="BX236" i="9"/>
  <c r="BR233" i="9"/>
  <c r="Z255" i="9"/>
  <c r="BQ255" i="9"/>
  <c r="BW258" i="9"/>
  <c r="W136" i="9"/>
  <c r="BT139" i="9"/>
  <c r="BN136" i="9"/>
  <c r="BY136" i="9" s="1"/>
  <c r="BV149" i="9"/>
  <c r="BP146" i="9"/>
  <c r="BZ135" i="9"/>
  <c r="X141" i="9"/>
  <c r="BU144" i="9"/>
  <c r="BO141" i="9"/>
  <c r="B136" i="9"/>
  <c r="CA136" i="9" s="1"/>
  <c r="F135" i="9"/>
  <c r="Z256" i="9" l="1"/>
  <c r="BQ256" i="9"/>
  <c r="BW259" i="9"/>
  <c r="AA234" i="9"/>
  <c r="BR234" i="9"/>
  <c r="BX237" i="9"/>
  <c r="X142" i="9"/>
  <c r="BO142" i="9"/>
  <c r="BU145" i="9"/>
  <c r="W137" i="9"/>
  <c r="BN137" i="9"/>
  <c r="BY137" i="9" s="1"/>
  <c r="BT140" i="9"/>
  <c r="E136" i="9"/>
  <c r="D136" i="9"/>
  <c r="AA235" i="9" l="1"/>
  <c r="BR235" i="9"/>
  <c r="BX238" i="9"/>
  <c r="Z257" i="9"/>
  <c r="BQ257" i="9"/>
  <c r="BW260" i="9"/>
  <c r="CB135" i="9"/>
  <c r="W138" i="9"/>
  <c r="BT141" i="9"/>
  <c r="BN138" i="9"/>
  <c r="X143" i="9"/>
  <c r="BO143" i="9"/>
  <c r="BU146" i="9"/>
  <c r="BZ136" i="9"/>
  <c r="B137" i="9"/>
  <c r="CA137" i="9" s="1"/>
  <c r="F136" i="9"/>
  <c r="Z258" i="9" l="1"/>
  <c r="BW261" i="9"/>
  <c r="BQ258" i="9"/>
  <c r="AA236" i="9"/>
  <c r="BR236" i="9"/>
  <c r="BX239" i="9"/>
  <c r="W139" i="9"/>
  <c r="BN139" i="9"/>
  <c r="BY139" i="9" s="1"/>
  <c r="BT142" i="9"/>
  <c r="X144" i="9"/>
  <c r="BU147" i="9"/>
  <c r="BO144" i="9"/>
  <c r="AL420" i="9"/>
  <c r="AL421" i="9" s="1"/>
  <c r="E137" i="9"/>
  <c r="D137" i="9"/>
  <c r="AA237" i="9" l="1"/>
  <c r="BR237" i="9"/>
  <c r="BX240" i="9"/>
  <c r="Z259" i="9"/>
  <c r="BQ259" i="9"/>
  <c r="BW262" i="9"/>
  <c r="W140" i="9"/>
  <c r="BT143" i="9"/>
  <c r="BN140" i="9"/>
  <c r="BY140" i="9" s="1"/>
  <c r="CB136" i="9"/>
  <c r="X145" i="9"/>
  <c r="BU148" i="9"/>
  <c r="BO145" i="9"/>
  <c r="BZ137" i="9"/>
  <c r="B138" i="9"/>
  <c r="CA138" i="9" s="1"/>
  <c r="F137" i="9"/>
  <c r="Z260" i="9" l="1"/>
  <c r="BQ260" i="9"/>
  <c r="BW263" i="9"/>
  <c r="AA238" i="9"/>
  <c r="BX241" i="9"/>
  <c r="BR238" i="9"/>
  <c r="X146" i="9"/>
  <c r="BU149" i="9"/>
  <c r="BO146" i="9"/>
  <c r="W141" i="9"/>
  <c r="BT144" i="9"/>
  <c r="BN141" i="9"/>
  <c r="E138" i="9"/>
  <c r="CB137" i="9" s="1"/>
  <c r="D138" i="9"/>
  <c r="AA239" i="9" l="1"/>
  <c r="BX242" i="9"/>
  <c r="BR239" i="9"/>
  <c r="BW264" i="9"/>
  <c r="Z261" i="9"/>
  <c r="BQ261" i="9"/>
  <c r="W142" i="9"/>
  <c r="BT145" i="9"/>
  <c r="BN142" i="9"/>
  <c r="X147" i="9"/>
  <c r="BU150" i="9"/>
  <c r="BO147" i="9"/>
  <c r="B139" i="9"/>
  <c r="CA139" i="9" s="1"/>
  <c r="F138" i="9"/>
  <c r="BW265" i="9" l="1"/>
  <c r="BQ262" i="9"/>
  <c r="Z262" i="9"/>
  <c r="AA240" i="9"/>
  <c r="BR240" i="9"/>
  <c r="BX243" i="9"/>
  <c r="X148" i="9"/>
  <c r="BU151" i="9"/>
  <c r="BO148" i="9"/>
  <c r="W143" i="9"/>
  <c r="BT146" i="9"/>
  <c r="BN143" i="9"/>
  <c r="E139" i="9"/>
  <c r="D139" i="9"/>
  <c r="AA241" i="9" l="1"/>
  <c r="BR241" i="9"/>
  <c r="BX244" i="9"/>
  <c r="Z263" i="9"/>
  <c r="BQ263" i="9"/>
  <c r="BW266" i="9"/>
  <c r="W144" i="9"/>
  <c r="BN144" i="9"/>
  <c r="BT147" i="9"/>
  <c r="BZ139" i="9"/>
  <c r="X149" i="9"/>
  <c r="BO149" i="9"/>
  <c r="BU152" i="9"/>
  <c r="F139" i="9"/>
  <c r="B140" i="9"/>
  <c r="CA140" i="9" s="1"/>
  <c r="BQ264" i="9" l="1"/>
  <c r="BW267" i="9"/>
  <c r="Z264" i="9"/>
  <c r="AA242" i="9"/>
  <c r="BR242" i="9"/>
  <c r="BX245" i="9"/>
  <c r="X150" i="9"/>
  <c r="BU153" i="9"/>
  <c r="BO150" i="9"/>
  <c r="W145" i="9"/>
  <c r="BN145" i="9"/>
  <c r="BT148" i="9"/>
  <c r="V140" i="9"/>
  <c r="E140" i="9"/>
  <c r="BZ140" i="9" s="1"/>
  <c r="D140" i="9"/>
  <c r="AA243" i="9" l="1"/>
  <c r="BR243" i="9"/>
  <c r="BX246" i="9"/>
  <c r="BW268" i="9"/>
  <c r="BQ265" i="9"/>
  <c r="Z265" i="9"/>
  <c r="V141" i="9"/>
  <c r="BS144" i="9"/>
  <c r="BM141" i="9"/>
  <c r="BY141" i="9" s="1"/>
  <c r="CB139" i="9"/>
  <c r="W146" i="9"/>
  <c r="BT149" i="9"/>
  <c r="BN146" i="9"/>
  <c r="BU154" i="9"/>
  <c r="BO151" i="9"/>
  <c r="AF154" i="9"/>
  <c r="AF155" i="9" s="1"/>
  <c r="AF156" i="9" s="1"/>
  <c r="AF157" i="9" s="1"/>
  <c r="AF158" i="9" s="1"/>
  <c r="AF159" i="9" s="1"/>
  <c r="AF160" i="9" s="1"/>
  <c r="AF161" i="9" s="1"/>
  <c r="AF162" i="9" s="1"/>
  <c r="AF163" i="9" s="1"/>
  <c r="AF164" i="9" s="1"/>
  <c r="AF165" i="9" s="1"/>
  <c r="AF166" i="9" s="1"/>
  <c r="AF167" i="9" s="1"/>
  <c r="AF168" i="9" s="1"/>
  <c r="AF169" i="9" s="1"/>
  <c r="AF170" i="9" s="1"/>
  <c r="AF171" i="9" s="1"/>
  <c r="AF172" i="9" s="1"/>
  <c r="AF173" i="9" s="1"/>
  <c r="AF174" i="9" s="1"/>
  <c r="AF175" i="9" s="1"/>
  <c r="AF176" i="9" s="1"/>
  <c r="AF177" i="9" s="1"/>
  <c r="AF178" i="9" s="1"/>
  <c r="AF179" i="9" s="1"/>
  <c r="AF180" i="9" s="1"/>
  <c r="AF181" i="9" s="1"/>
  <c r="AF182" i="9" s="1"/>
  <c r="AF183" i="9" s="1"/>
  <c r="AF184" i="9" s="1"/>
  <c r="AF185" i="9" s="1"/>
  <c r="AF186" i="9" s="1"/>
  <c r="AF187" i="9" s="1"/>
  <c r="AF188" i="9" s="1"/>
  <c r="AF189" i="9" s="1"/>
  <c r="AF190" i="9" s="1"/>
  <c r="AF191" i="9" s="1"/>
  <c r="AF192" i="9" s="1"/>
  <c r="AF193" i="9" s="1"/>
  <c r="AF194" i="9" s="1"/>
  <c r="AF195" i="9" s="1"/>
  <c r="AF196" i="9" s="1"/>
  <c r="AF197" i="9" s="1"/>
  <c r="AF198" i="9" s="1"/>
  <c r="AF199" i="9" s="1"/>
  <c r="AF200" i="9" s="1"/>
  <c r="AF201" i="9" s="1"/>
  <c r="AF202" i="9" s="1"/>
  <c r="AF203" i="9" s="1"/>
  <c r="AF204" i="9" s="1"/>
  <c r="AF205" i="9" s="1"/>
  <c r="AF206" i="9" s="1"/>
  <c r="AF207" i="9" s="1"/>
  <c r="AF208" i="9" s="1"/>
  <c r="AF209" i="9" s="1"/>
  <c r="AF210" i="9" s="1"/>
  <c r="AF211" i="9" s="1"/>
  <c r="AF212" i="9" s="1"/>
  <c r="AF213" i="9" s="1"/>
  <c r="AF214" i="9" s="1"/>
  <c r="AF215" i="9" s="1"/>
  <c r="AF216" i="9" s="1"/>
  <c r="AF217" i="9" s="1"/>
  <c r="AF218" i="9" s="1"/>
  <c r="AF219" i="9" s="1"/>
  <c r="AF220" i="9" s="1"/>
  <c r="AF221" i="9" s="1"/>
  <c r="AF222" i="9" s="1"/>
  <c r="AF223" i="9" s="1"/>
  <c r="AF224" i="9" s="1"/>
  <c r="AF225" i="9" s="1"/>
  <c r="AF226" i="9" s="1"/>
  <c r="AF227" i="9" s="1"/>
  <c r="AF228" i="9" s="1"/>
  <c r="AF229" i="9" s="1"/>
  <c r="AF230" i="9" s="1"/>
  <c r="AF231" i="9" s="1"/>
  <c r="AF232" i="9" s="1"/>
  <c r="AF233" i="9" s="1"/>
  <c r="AF234" i="9" s="1"/>
  <c r="AF235" i="9" s="1"/>
  <c r="AF236" i="9" s="1"/>
  <c r="AF237" i="9" s="1"/>
  <c r="F140" i="9"/>
  <c r="B141" i="9"/>
  <c r="CA141" i="9" s="1"/>
  <c r="BQ266" i="9" l="1"/>
  <c r="BW269" i="9"/>
  <c r="Z266" i="9"/>
  <c r="AA244" i="9"/>
  <c r="BR244" i="9"/>
  <c r="BX247" i="9"/>
  <c r="W147" i="9"/>
  <c r="BN147" i="9"/>
  <c r="BT150" i="9"/>
  <c r="V142" i="9"/>
  <c r="E141" i="9"/>
  <c r="D141" i="9"/>
  <c r="AA245" i="9" l="1"/>
  <c r="BR245" i="9"/>
  <c r="BX248" i="9"/>
  <c r="BQ267" i="9"/>
  <c r="BW270" i="9"/>
  <c r="Z267" i="9"/>
  <c r="V143" i="9"/>
  <c r="AC143" i="9" s="1"/>
  <c r="BS146" i="9"/>
  <c r="BM143" i="9"/>
  <c r="BY143" i="9" s="1"/>
  <c r="BZ141" i="9"/>
  <c r="CB140" i="9"/>
  <c r="W148" i="9"/>
  <c r="BT151" i="9"/>
  <c r="BN148" i="9"/>
  <c r="F141" i="9"/>
  <c r="B142" i="9"/>
  <c r="CA142" i="9" s="1"/>
  <c r="BQ268" i="9" l="1"/>
  <c r="BW271" i="9"/>
  <c r="Z268" i="9"/>
  <c r="AA246" i="9"/>
  <c r="BX249" i="9"/>
  <c r="BR246" i="9"/>
  <c r="V144" i="9"/>
  <c r="BS147" i="9"/>
  <c r="BM144" i="9"/>
  <c r="BY144" i="9" s="1"/>
  <c r="W149" i="9"/>
  <c r="BT152" i="9"/>
  <c r="BN149" i="9"/>
  <c r="AM420" i="9"/>
  <c r="AM421" i="9" s="1"/>
  <c r="E142" i="9"/>
  <c r="D142" i="9"/>
  <c r="AA247" i="9" l="1"/>
  <c r="BR247" i="9"/>
  <c r="BX250" i="9"/>
  <c r="Z269" i="9"/>
  <c r="BW272" i="9"/>
  <c r="BQ269" i="9"/>
  <c r="CB141" i="9"/>
  <c r="W150" i="9"/>
  <c r="AD150" i="9" s="1"/>
  <c r="BT153" i="9"/>
  <c r="BN150" i="9"/>
  <c r="BS148" i="9"/>
  <c r="BM145" i="9"/>
  <c r="V145" i="9"/>
  <c r="AC144" i="9"/>
  <c r="AC145" i="9" s="1"/>
  <c r="F142" i="9"/>
  <c r="B143" i="9"/>
  <c r="CA143" i="9" s="1"/>
  <c r="AA248" i="9" l="1"/>
  <c r="BR248" i="9"/>
  <c r="BX251" i="9"/>
  <c r="BW273" i="9"/>
  <c r="Z270" i="9"/>
  <c r="BQ270" i="9"/>
  <c r="W151" i="9"/>
  <c r="AD151" i="9" s="1"/>
  <c r="BT154" i="9"/>
  <c r="BN151" i="9"/>
  <c r="V146" i="9"/>
  <c r="AC146" i="9" s="1"/>
  <c r="AC147" i="9" s="1"/>
  <c r="AC148" i="9" s="1"/>
  <c r="AC149" i="9" s="1"/>
  <c r="AC150" i="9" s="1"/>
  <c r="AC151" i="9" s="1"/>
  <c r="AC152" i="9" s="1"/>
  <c r="AC153" i="9" s="1"/>
  <c r="AC154" i="9" s="1"/>
  <c r="AC155" i="9" s="1"/>
  <c r="AC156" i="9" s="1"/>
  <c r="AC157" i="9" s="1"/>
  <c r="AC158" i="9" s="1"/>
  <c r="AC159" i="9" s="1"/>
  <c r="AC160" i="9" s="1"/>
  <c r="AC161" i="9" s="1"/>
  <c r="AC162" i="9" s="1"/>
  <c r="AC163" i="9" s="1"/>
  <c r="AC164" i="9" s="1"/>
  <c r="AC165" i="9" s="1"/>
  <c r="AC166" i="9" s="1"/>
  <c r="AC167" i="9" s="1"/>
  <c r="AC168" i="9" s="1"/>
  <c r="AC169" i="9" s="1"/>
  <c r="AC170" i="9" s="1"/>
  <c r="AC171" i="9" s="1"/>
  <c r="AC172" i="9" s="1"/>
  <c r="AC173" i="9" s="1"/>
  <c r="AC174" i="9" s="1"/>
  <c r="AC175" i="9" s="1"/>
  <c r="AC176" i="9" s="1"/>
  <c r="AC177" i="9" s="1"/>
  <c r="AC178" i="9" s="1"/>
  <c r="AC179" i="9" s="1"/>
  <c r="AC180" i="9" s="1"/>
  <c r="AC181" i="9" s="1"/>
  <c r="AC182" i="9" s="1"/>
  <c r="AC183" i="9" s="1"/>
  <c r="AC184" i="9" s="1"/>
  <c r="AC185" i="9" s="1"/>
  <c r="AC186" i="9" s="1"/>
  <c r="AC187" i="9" s="1"/>
  <c r="AC188" i="9" s="1"/>
  <c r="AC189" i="9" s="1"/>
  <c r="AC190" i="9" s="1"/>
  <c r="AC191" i="9" s="1"/>
  <c r="AC192" i="9" s="1"/>
  <c r="AC193" i="9" s="1"/>
  <c r="AC194" i="9" s="1"/>
  <c r="AC195" i="9" s="1"/>
  <c r="BM146" i="9"/>
  <c r="BY146" i="9" s="1"/>
  <c r="BS149" i="9"/>
  <c r="E143" i="9"/>
  <c r="D143" i="9"/>
  <c r="Z271" i="9" l="1"/>
  <c r="BQ271" i="9"/>
  <c r="BW274" i="9"/>
  <c r="AA249" i="9"/>
  <c r="BR249" i="9"/>
  <c r="BX252" i="9"/>
  <c r="V147" i="9"/>
  <c r="BS150" i="9"/>
  <c r="BM147" i="9"/>
  <c r="CB142" i="9"/>
  <c r="W152" i="9"/>
  <c r="W153" i="9" s="1"/>
  <c r="BT155" i="9"/>
  <c r="BN152" i="9"/>
  <c r="F143" i="9"/>
  <c r="B144" i="9"/>
  <c r="CA144" i="9" s="1"/>
  <c r="AA250" i="9" l="1"/>
  <c r="BR250" i="9"/>
  <c r="BX253" i="9"/>
  <c r="Z272" i="9"/>
  <c r="BQ272" i="9"/>
  <c r="BW275" i="9"/>
  <c r="BT157" i="9"/>
  <c r="W154" i="9"/>
  <c r="BN154" i="9"/>
  <c r="BT156" i="9"/>
  <c r="BN153" i="9"/>
  <c r="AD152" i="9"/>
  <c r="AD153" i="9" s="1"/>
  <c r="AD154" i="9" s="1"/>
  <c r="AD155" i="9" s="1"/>
  <c r="AD156" i="9" s="1"/>
  <c r="AD157" i="9" s="1"/>
  <c r="AD158" i="9" s="1"/>
  <c r="AD159" i="9" s="1"/>
  <c r="AD160" i="9" s="1"/>
  <c r="AD161" i="9" s="1"/>
  <c r="AD162" i="9" s="1"/>
  <c r="AD163" i="9" s="1"/>
  <c r="AD164" i="9" s="1"/>
  <c r="AD165" i="9" s="1"/>
  <c r="AD166" i="9" s="1"/>
  <c r="AD167" i="9" s="1"/>
  <c r="AD168" i="9" s="1"/>
  <c r="AD169" i="9" s="1"/>
  <c r="AD170" i="9" s="1"/>
  <c r="AD171" i="9" s="1"/>
  <c r="AD172" i="9" s="1"/>
  <c r="AD173" i="9" s="1"/>
  <c r="AD174" i="9" s="1"/>
  <c r="AD175" i="9" s="1"/>
  <c r="AD176" i="9" s="1"/>
  <c r="AD177" i="9" s="1"/>
  <c r="AD178" i="9" s="1"/>
  <c r="AD179" i="9" s="1"/>
  <c r="AD180" i="9" s="1"/>
  <c r="AD181" i="9" s="1"/>
  <c r="AD182" i="9" s="1"/>
  <c r="AD183" i="9" s="1"/>
  <c r="AD184" i="9" s="1"/>
  <c r="AD185" i="9" s="1"/>
  <c r="AD186" i="9" s="1"/>
  <c r="AD187" i="9" s="1"/>
  <c r="AD188" i="9" s="1"/>
  <c r="AD189" i="9" s="1"/>
  <c r="AD190" i="9" s="1"/>
  <c r="AD191" i="9" s="1"/>
  <c r="AD192" i="9" s="1"/>
  <c r="AD193" i="9" s="1"/>
  <c r="AD194" i="9" s="1"/>
  <c r="AD195" i="9" s="1"/>
  <c r="AD196" i="9" s="1"/>
  <c r="AD197" i="9" s="1"/>
  <c r="AD198" i="9" s="1"/>
  <c r="AD199" i="9" s="1"/>
  <c r="AD200" i="9" s="1"/>
  <c r="AD201" i="9" s="1"/>
  <c r="AD202" i="9" s="1"/>
  <c r="AD203" i="9" s="1"/>
  <c r="AD204" i="9" s="1"/>
  <c r="BM148" i="9"/>
  <c r="BS151" i="9"/>
  <c r="E144" i="9"/>
  <c r="D144" i="9"/>
  <c r="Z273" i="9" l="1"/>
  <c r="BW276" i="9"/>
  <c r="BQ273" i="9"/>
  <c r="AA251" i="9"/>
  <c r="BX254" i="9"/>
  <c r="BR251" i="9"/>
  <c r="BT158" i="9"/>
  <c r="BN155" i="9"/>
  <c r="W155" i="9"/>
  <c r="BT159" i="9" s="1"/>
  <c r="BZ144" i="9"/>
  <c r="F144" i="9"/>
  <c r="B145" i="9"/>
  <c r="CA145" i="9" s="1"/>
  <c r="AA252" i="9" l="1"/>
  <c r="BX255" i="9"/>
  <c r="BR252" i="9"/>
  <c r="Z274" i="9"/>
  <c r="BW277" i="9"/>
  <c r="BQ274" i="9"/>
  <c r="BN156" i="9"/>
  <c r="E145" i="9"/>
  <c r="D145" i="9"/>
  <c r="Z275" i="9" l="1"/>
  <c r="BQ275" i="9"/>
  <c r="BW278" i="9"/>
  <c r="AA253" i="9"/>
  <c r="BR253" i="9"/>
  <c r="BX256" i="9"/>
  <c r="CB144" i="9"/>
  <c r="B146" i="9"/>
  <c r="CA146" i="9" s="1"/>
  <c r="F145" i="9"/>
  <c r="Z276" i="9" l="1"/>
  <c r="BQ276" i="9"/>
  <c r="BW279" i="9"/>
  <c r="AA254" i="9"/>
  <c r="BR254" i="9"/>
  <c r="BX257" i="9"/>
  <c r="E146" i="9"/>
  <c r="Y146" i="9"/>
  <c r="D146" i="9"/>
  <c r="AA255" i="9" l="1"/>
  <c r="BR255" i="9"/>
  <c r="BX258" i="9"/>
  <c r="BW280" i="9"/>
  <c r="Z277" i="9"/>
  <c r="BQ277" i="9"/>
  <c r="CB145" i="9"/>
  <c r="Y147" i="9"/>
  <c r="BV150" i="9"/>
  <c r="BP147" i="9"/>
  <c r="BY147" i="9" s="1"/>
  <c r="B147" i="9"/>
  <c r="CA147" i="9" s="1"/>
  <c r="F146" i="9"/>
  <c r="Z278" i="9" l="1"/>
  <c r="BW281" i="9"/>
  <c r="BQ278" i="9"/>
  <c r="AA256" i="9"/>
  <c r="BX259" i="9"/>
  <c r="BR256" i="9"/>
  <c r="Y148" i="9"/>
  <c r="BV151" i="9"/>
  <c r="BP148" i="9"/>
  <c r="BY148" i="9" s="1"/>
  <c r="E147" i="9"/>
  <c r="CB146" i="9" s="1"/>
  <c r="D147" i="9"/>
  <c r="AA257" i="9" l="1"/>
  <c r="BX260" i="9"/>
  <c r="BR257" i="9"/>
  <c r="BW282" i="9"/>
  <c r="Z279" i="9"/>
  <c r="BQ279" i="9"/>
  <c r="Y149" i="9"/>
  <c r="BV152" i="9"/>
  <c r="BP149" i="9"/>
  <c r="B148" i="9"/>
  <c r="F147" i="9"/>
  <c r="V148" i="9" l="1"/>
  <c r="V149" i="9" s="1"/>
  <c r="BM150" i="9" s="1"/>
  <c r="CA148" i="9"/>
  <c r="BQ280" i="9"/>
  <c r="BW283" i="9"/>
  <c r="Z280" i="9"/>
  <c r="AA258" i="9"/>
  <c r="BR258" i="9"/>
  <c r="BX261" i="9"/>
  <c r="BS153" i="9"/>
  <c r="BM149" i="9"/>
  <c r="BY149" i="9" s="1"/>
  <c r="Y150" i="9"/>
  <c r="BV153" i="9"/>
  <c r="BP150" i="9"/>
  <c r="AN420" i="9"/>
  <c r="AN421" i="9" s="1"/>
  <c r="E148" i="9"/>
  <c r="D148" i="9"/>
  <c r="BS152" i="9" l="1"/>
  <c r="AA259" i="9"/>
  <c r="BX262" i="9"/>
  <c r="BR259" i="9"/>
  <c r="Z281" i="9"/>
  <c r="BW284" i="9"/>
  <c r="BQ281" i="9"/>
  <c r="BY150" i="9"/>
  <c r="BZ148" i="9"/>
  <c r="Y151" i="9"/>
  <c r="BV154" i="9"/>
  <c r="BP151" i="9"/>
  <c r="F148" i="9"/>
  <c r="B149" i="9"/>
  <c r="CA149" i="9" s="1"/>
  <c r="BW285" i="9" l="1"/>
  <c r="Z282" i="9"/>
  <c r="BQ282" i="9"/>
  <c r="AA260" i="9"/>
  <c r="BR260" i="9"/>
  <c r="BX263" i="9"/>
  <c r="Y152" i="9"/>
  <c r="BV155" i="9"/>
  <c r="BP152" i="9"/>
  <c r="D149" i="9"/>
  <c r="E149" i="9"/>
  <c r="BR261" i="9" l="1"/>
  <c r="AA261" i="9"/>
  <c r="BX264" i="9"/>
  <c r="BQ283" i="9"/>
  <c r="BW286" i="9"/>
  <c r="Z283" i="9"/>
  <c r="BZ149" i="9"/>
  <c r="CB148" i="9"/>
  <c r="Y153" i="9"/>
  <c r="BP153" i="9"/>
  <c r="BV156" i="9"/>
  <c r="B150" i="9"/>
  <c r="F149" i="9"/>
  <c r="V150" i="9" l="1"/>
  <c r="BM151" i="9" s="1"/>
  <c r="BY151" i="9" s="1"/>
  <c r="CA150" i="9"/>
  <c r="Z284" i="9"/>
  <c r="BQ284" i="9"/>
  <c r="BW287" i="9"/>
  <c r="AA262" i="9"/>
  <c r="BR262" i="9"/>
  <c r="BX265" i="9"/>
  <c r="Y154" i="9"/>
  <c r="BP154" i="9"/>
  <c r="BV157" i="9"/>
  <c r="D150" i="9"/>
  <c r="E150" i="9"/>
  <c r="BZ150" i="9" s="1"/>
  <c r="BS154" i="9" l="1"/>
  <c r="V151" i="9"/>
  <c r="BS155" i="9" s="1"/>
  <c r="BX266" i="9"/>
  <c r="AA263" i="9"/>
  <c r="BR263" i="9"/>
  <c r="BQ285" i="9"/>
  <c r="BW288" i="9"/>
  <c r="Z285" i="9"/>
  <c r="Y155" i="9"/>
  <c r="BV159" i="9" s="1"/>
  <c r="BV158" i="9"/>
  <c r="BP155" i="9"/>
  <c r="CB149" i="9"/>
  <c r="B151" i="9"/>
  <c r="CA151" i="9" s="1"/>
  <c r="F150" i="9"/>
  <c r="BM152" i="9" l="1"/>
  <c r="V152" i="9"/>
  <c r="V153" i="9" s="1"/>
  <c r="Z286" i="9"/>
  <c r="BQ286" i="9"/>
  <c r="BW289" i="9"/>
  <c r="BX267" i="9"/>
  <c r="BR264" i="9"/>
  <c r="AA264" i="9"/>
  <c r="Y156" i="9"/>
  <c r="BV160" i="9" s="1"/>
  <c r="BP156" i="9"/>
  <c r="D151" i="9"/>
  <c r="E151" i="9"/>
  <c r="X151" i="9"/>
  <c r="BS156" i="9" l="1"/>
  <c r="BR265" i="9"/>
  <c r="AA265" i="9"/>
  <c r="BX268" i="9"/>
  <c r="Z287" i="9"/>
  <c r="BQ287" i="9"/>
  <c r="BW290" i="9"/>
  <c r="X152" i="9"/>
  <c r="BU155" i="9"/>
  <c r="BO152" i="9"/>
  <c r="BY152" i="9" s="1"/>
  <c r="BZ151" i="9"/>
  <c r="CB150" i="9"/>
  <c r="V154" i="9"/>
  <c r="BM154" i="9"/>
  <c r="BS157" i="9"/>
  <c r="Y157" i="9"/>
  <c r="BV161" i="9" s="1"/>
  <c r="BP157" i="9"/>
  <c r="B152" i="9"/>
  <c r="CA152" i="9" s="1"/>
  <c r="F151" i="9"/>
  <c r="Z288" i="9" l="1"/>
  <c r="BW291" i="9"/>
  <c r="BQ288" i="9"/>
  <c r="AA266" i="9"/>
  <c r="BR266" i="9"/>
  <c r="BX269" i="9"/>
  <c r="V155" i="9"/>
  <c r="BS159" i="9" s="1"/>
  <c r="BS158" i="9"/>
  <c r="BM155" i="9"/>
  <c r="Y158" i="9"/>
  <c r="BP158" i="9"/>
  <c r="X153" i="9"/>
  <c r="BU156" i="9"/>
  <c r="BO153" i="9"/>
  <c r="D152" i="9"/>
  <c r="E152" i="9"/>
  <c r="BX270" i="9" l="1"/>
  <c r="AA267" i="9"/>
  <c r="BR267" i="9"/>
  <c r="BQ289" i="9"/>
  <c r="BW292" i="9"/>
  <c r="Z289" i="9"/>
  <c r="BP159" i="9"/>
  <c r="BV162" i="9"/>
  <c r="V156" i="9"/>
  <c r="BS160" i="9" s="1"/>
  <c r="BM156" i="9"/>
  <c r="CB151" i="9"/>
  <c r="CE121" i="9" s="1"/>
  <c r="Y159" i="9"/>
  <c r="BZ152" i="9"/>
  <c r="X154" i="9"/>
  <c r="BO154" i="9"/>
  <c r="BY154" i="9" s="1"/>
  <c r="BU157" i="9"/>
  <c r="B153" i="9"/>
  <c r="CA153" i="9" s="1"/>
  <c r="F152" i="9"/>
  <c r="Z290" i="9" l="1"/>
  <c r="BQ290" i="9"/>
  <c r="BW293" i="9"/>
  <c r="AA268" i="9"/>
  <c r="BX271" i="9"/>
  <c r="BR268" i="9"/>
  <c r="Y160" i="9"/>
  <c r="BV163" i="9"/>
  <c r="BP160" i="9"/>
  <c r="X155" i="9"/>
  <c r="BU159" i="9" s="1"/>
  <c r="BO155" i="9"/>
  <c r="BY155" i="9" s="1"/>
  <c r="BU158" i="9"/>
  <c r="V157" i="9"/>
  <c r="BS161" i="9" s="1"/>
  <c r="D153" i="9"/>
  <c r="E153" i="9"/>
  <c r="Z291" i="9" l="1"/>
  <c r="BQ291" i="9"/>
  <c r="BW294" i="9"/>
  <c r="BX272" i="9"/>
  <c r="AA269" i="9"/>
  <c r="BR269" i="9"/>
  <c r="Y161" i="9"/>
  <c r="BP161" i="9"/>
  <c r="BV164" i="9"/>
  <c r="CB152" i="9"/>
  <c r="X156" i="9"/>
  <c r="BU160" i="9" s="1"/>
  <c r="BO156" i="9"/>
  <c r="BY156" i="9" s="1"/>
  <c r="V158" i="9"/>
  <c r="BM158" i="9"/>
  <c r="AO420" i="9"/>
  <c r="AO421" i="9" s="1"/>
  <c r="B154" i="9"/>
  <c r="CA154" i="9" s="1"/>
  <c r="F153" i="9"/>
  <c r="AA270" i="9" l="1"/>
  <c r="BR270" i="9"/>
  <c r="BX273" i="9"/>
  <c r="BQ292" i="9"/>
  <c r="Z292" i="9"/>
  <c r="BW295" i="9"/>
  <c r="BS162" i="9"/>
  <c r="BM159" i="9"/>
  <c r="Y162" i="9"/>
  <c r="BP162" i="9"/>
  <c r="BV165" i="9"/>
  <c r="V159" i="9"/>
  <c r="X157" i="9"/>
  <c r="BU161" i="9" s="1"/>
  <c r="BO157" i="9"/>
  <c r="D154" i="9"/>
  <c r="E154" i="9"/>
  <c r="BQ293" i="9" l="1"/>
  <c r="BW296" i="9"/>
  <c r="Z293" i="9"/>
  <c r="BX274" i="9"/>
  <c r="AA271" i="9"/>
  <c r="BR271" i="9"/>
  <c r="V160" i="9"/>
  <c r="BM160" i="9"/>
  <c r="BS163" i="9"/>
  <c r="Y163" i="9"/>
  <c r="BP163" i="9"/>
  <c r="BV166" i="9"/>
  <c r="CB153" i="9"/>
  <c r="X158" i="9"/>
  <c r="BO158" i="9"/>
  <c r="B155" i="9"/>
  <c r="CA155" i="9" s="1"/>
  <c r="F154" i="9"/>
  <c r="Z294" i="9" l="1"/>
  <c r="BQ294" i="9"/>
  <c r="BW297" i="9"/>
  <c r="AA272" i="9"/>
  <c r="BR272" i="9"/>
  <c r="BX275" i="9"/>
  <c r="BO159" i="9"/>
  <c r="BU162" i="9"/>
  <c r="Y164" i="9"/>
  <c r="BV167" i="9"/>
  <c r="BP164" i="9"/>
  <c r="BM161" i="9"/>
  <c r="BS164" i="9"/>
  <c r="X159" i="9"/>
  <c r="D155" i="9"/>
  <c r="E155" i="9"/>
  <c r="BX276" i="9" l="1"/>
  <c r="AA273" i="9"/>
  <c r="BR273" i="9"/>
  <c r="BQ295" i="9"/>
  <c r="BW298" i="9"/>
  <c r="Z295" i="9"/>
  <c r="X160" i="9"/>
  <c r="BU163" i="9"/>
  <c r="BO160" i="9"/>
  <c r="Y165" i="9"/>
  <c r="BP165" i="9"/>
  <c r="BV168" i="9"/>
  <c r="CB154" i="9"/>
  <c r="B156" i="9"/>
  <c r="CA156" i="9" s="1"/>
  <c r="F155" i="9"/>
  <c r="Z296" i="9" l="1"/>
  <c r="BW299" i="9"/>
  <c r="BQ296" i="9"/>
  <c r="AA274" i="9"/>
  <c r="BR274" i="9"/>
  <c r="BX277" i="9"/>
  <c r="Y166" i="9"/>
  <c r="BV169" i="9"/>
  <c r="BP166" i="9"/>
  <c r="X161" i="9"/>
  <c r="BO161" i="9"/>
  <c r="BU164" i="9"/>
  <c r="D156" i="9"/>
  <c r="W156" i="9"/>
  <c r="BT160" i="9" s="1"/>
  <c r="E156" i="9"/>
  <c r="BX278" i="9" l="1"/>
  <c r="AA275" i="9"/>
  <c r="BR275" i="9"/>
  <c r="Z297" i="9"/>
  <c r="BQ297" i="9"/>
  <c r="BW300" i="9"/>
  <c r="X162" i="9"/>
  <c r="BU165" i="9"/>
  <c r="BO162" i="9"/>
  <c r="Y167" i="9"/>
  <c r="BP167" i="9"/>
  <c r="BV170" i="9"/>
  <c r="CB155" i="9"/>
  <c r="W157" i="9"/>
  <c r="BT161" i="9" s="1"/>
  <c r="BN157" i="9"/>
  <c r="B157" i="9"/>
  <c r="CA157" i="9" s="1"/>
  <c r="F156" i="9"/>
  <c r="BW301" i="9" l="1"/>
  <c r="Z298" i="9"/>
  <c r="BQ298" i="9"/>
  <c r="AA276" i="9"/>
  <c r="BX279" i="9"/>
  <c r="BR276" i="9"/>
  <c r="BV171" i="9"/>
  <c r="BP168" i="9"/>
  <c r="X163" i="9"/>
  <c r="BO163" i="9"/>
  <c r="BU166" i="9"/>
  <c r="W158" i="9"/>
  <c r="BN158" i="9"/>
  <c r="BY158" i="9" s="1"/>
  <c r="D157" i="9"/>
  <c r="E157" i="9"/>
  <c r="BX280" i="9" l="1"/>
  <c r="AA277" i="9"/>
  <c r="BR277" i="9"/>
  <c r="BQ299" i="9"/>
  <c r="BW302" i="9"/>
  <c r="Z299" i="9"/>
  <c r="X164" i="9"/>
  <c r="BO164" i="9"/>
  <c r="BU167" i="9"/>
  <c r="BN159" i="9"/>
  <c r="BY159" i="9" s="1"/>
  <c r="BT162" i="9"/>
  <c r="W159" i="9"/>
  <c r="B158" i="9"/>
  <c r="CA158" i="9" s="1"/>
  <c r="F157" i="9"/>
  <c r="BW303" i="9" l="1"/>
  <c r="BQ300" i="9"/>
  <c r="Z300" i="9"/>
  <c r="AA278" i="9"/>
  <c r="BR278" i="9"/>
  <c r="BX281" i="9"/>
  <c r="W160" i="9"/>
  <c r="BT163" i="9"/>
  <c r="BN160" i="9"/>
  <c r="BY160" i="9" s="1"/>
  <c r="X165" i="9"/>
  <c r="BO165" i="9"/>
  <c r="BU168" i="9"/>
  <c r="D158" i="9"/>
  <c r="E158" i="9"/>
  <c r="AA279" i="9" l="1"/>
  <c r="BR279" i="9"/>
  <c r="BX282" i="9"/>
  <c r="BQ301" i="9"/>
  <c r="BW304" i="9"/>
  <c r="Z301" i="9"/>
  <c r="X166" i="9"/>
  <c r="BU169" i="9"/>
  <c r="BO166" i="9"/>
  <c r="W161" i="9"/>
  <c r="BN161" i="9"/>
  <c r="BY161" i="9" s="1"/>
  <c r="BT164" i="9"/>
  <c r="CB157" i="9"/>
  <c r="AP420" i="9"/>
  <c r="AP421" i="9" s="1"/>
  <c r="B159" i="9"/>
  <c r="CA159" i="9" s="1"/>
  <c r="F158" i="9"/>
  <c r="BQ302" i="9" l="1"/>
  <c r="BW305" i="9"/>
  <c r="Z302" i="9"/>
  <c r="AA280" i="9"/>
  <c r="BR280" i="9"/>
  <c r="BX283" i="9"/>
  <c r="W162" i="9"/>
  <c r="BT165" i="9"/>
  <c r="BN162" i="9"/>
  <c r="X167" i="9"/>
  <c r="BO167" i="9"/>
  <c r="BU170" i="9"/>
  <c r="E159" i="9"/>
  <c r="D159" i="9"/>
  <c r="AA281" i="9" l="1"/>
  <c r="BR281" i="9"/>
  <c r="BX284" i="9"/>
  <c r="BW306" i="9"/>
  <c r="Z303" i="9"/>
  <c r="BQ303" i="9"/>
  <c r="X168" i="9"/>
  <c r="BU171" i="9"/>
  <c r="BO168" i="9"/>
  <c r="W163" i="9"/>
  <c r="BN163" i="9"/>
  <c r="BT166" i="9"/>
  <c r="CB158" i="9"/>
  <c r="F159" i="9"/>
  <c r="B160" i="9"/>
  <c r="CA160" i="9" s="1"/>
  <c r="BQ304" i="9" l="1"/>
  <c r="BW307" i="9"/>
  <c r="Z304" i="9"/>
  <c r="AA282" i="9"/>
  <c r="BR282" i="9"/>
  <c r="BX285" i="9"/>
  <c r="W164" i="9"/>
  <c r="BT167" i="9"/>
  <c r="BN164" i="9"/>
  <c r="X169" i="9"/>
  <c r="BO169" i="9"/>
  <c r="BU172" i="9"/>
  <c r="E160" i="9"/>
  <c r="CB159" i="9" s="1"/>
  <c r="D160" i="9"/>
  <c r="BR283" i="9" l="1"/>
  <c r="BX286" i="9"/>
  <c r="AA283" i="9"/>
  <c r="Z305" i="9"/>
  <c r="BW308" i="9"/>
  <c r="BQ305" i="9"/>
  <c r="X170" i="9"/>
  <c r="BO170" i="9"/>
  <c r="BU173" i="9"/>
  <c r="W165" i="9"/>
  <c r="BN165" i="9"/>
  <c r="BT168" i="9"/>
  <c r="F160" i="9"/>
  <c r="B161" i="9"/>
  <c r="CA161" i="9" s="1"/>
  <c r="Z306" i="9" l="1"/>
  <c r="BQ306" i="9"/>
  <c r="BW309" i="9"/>
  <c r="BX287" i="9"/>
  <c r="BR284" i="9"/>
  <c r="AA284" i="9"/>
  <c r="W166" i="9"/>
  <c r="BN166" i="9"/>
  <c r="BT169" i="9"/>
  <c r="X171" i="9"/>
  <c r="BU174" i="9"/>
  <c r="BO171" i="9"/>
  <c r="E161" i="9"/>
  <c r="V161" i="9"/>
  <c r="D161" i="9"/>
  <c r="BR285" i="9" l="1"/>
  <c r="BX288" i="9"/>
  <c r="AA285" i="9"/>
  <c r="BW310" i="9"/>
  <c r="Z307" i="9"/>
  <c r="BQ307" i="9"/>
  <c r="BZ161" i="9"/>
  <c r="W167" i="9"/>
  <c r="BN167" i="9"/>
  <c r="BT170" i="9"/>
  <c r="X172" i="9"/>
  <c r="BO172" i="9"/>
  <c r="BU175" i="9"/>
  <c r="V162" i="9"/>
  <c r="BS165" i="9"/>
  <c r="BM162" i="9"/>
  <c r="BY162" i="9" s="1"/>
  <c r="AQ420" i="9"/>
  <c r="AQ421" i="9" s="1"/>
  <c r="F161" i="9"/>
  <c r="B162" i="9"/>
  <c r="CA162" i="9" s="1"/>
  <c r="AA286" i="9" l="1"/>
  <c r="BR286" i="9"/>
  <c r="BX289" i="9"/>
  <c r="BW311" i="9"/>
  <c r="Z308" i="9"/>
  <c r="BQ308" i="9"/>
  <c r="W168" i="9"/>
  <c r="BT171" i="9"/>
  <c r="BN168" i="9"/>
  <c r="BU176" i="9"/>
  <c r="BO173" i="9"/>
  <c r="V163" i="9"/>
  <c r="BS166" i="9"/>
  <c r="BM163" i="9"/>
  <c r="BY163" i="9" s="1"/>
  <c r="E162" i="9"/>
  <c r="D162" i="9"/>
  <c r="BQ309" i="9" l="1"/>
  <c r="BW312" i="9"/>
  <c r="Z309" i="9"/>
  <c r="BX290" i="9"/>
  <c r="AA287" i="9"/>
  <c r="BR287" i="9"/>
  <c r="V164" i="9"/>
  <c r="BS167" i="9"/>
  <c r="BM164" i="9"/>
  <c r="BY164" i="9" s="1"/>
  <c r="BZ162" i="9"/>
  <c r="CB161" i="9"/>
  <c r="W169" i="9"/>
  <c r="BN169" i="9"/>
  <c r="BT172" i="9"/>
  <c r="F162" i="9"/>
  <c r="B163" i="9"/>
  <c r="CA163" i="9" s="1"/>
  <c r="BQ310" i="9" l="1"/>
  <c r="BW313" i="9"/>
  <c r="Z310" i="9"/>
  <c r="AA288" i="9"/>
  <c r="BR288" i="9"/>
  <c r="BX291" i="9"/>
  <c r="W170" i="9"/>
  <c r="BN170" i="9"/>
  <c r="BT173" i="9"/>
  <c r="V165" i="9"/>
  <c r="BM165" i="9"/>
  <c r="BY165" i="9" s="1"/>
  <c r="BS168" i="9"/>
  <c r="E163" i="9"/>
  <c r="D163" i="9"/>
  <c r="BX292" i="9" l="1"/>
  <c r="BR289" i="9"/>
  <c r="AA289" i="9"/>
  <c r="BQ311" i="9"/>
  <c r="Z311" i="9"/>
  <c r="BW314" i="9"/>
  <c r="V166" i="9"/>
  <c r="BS169" i="9"/>
  <c r="BM166" i="9"/>
  <c r="BY166" i="9" s="1"/>
  <c r="BZ163" i="9"/>
  <c r="CB162" i="9"/>
  <c r="W171" i="9"/>
  <c r="BT174" i="9"/>
  <c r="BN171" i="9"/>
  <c r="F163" i="9"/>
  <c r="B164" i="9"/>
  <c r="CA164" i="9" s="1"/>
  <c r="AA290" i="9" l="1"/>
  <c r="BR290" i="9"/>
  <c r="BX293" i="9"/>
  <c r="Z312" i="9"/>
  <c r="BQ312" i="9"/>
  <c r="BW315" i="9"/>
  <c r="W172" i="9"/>
  <c r="BT175" i="9"/>
  <c r="BN172" i="9"/>
  <c r="V167" i="9"/>
  <c r="BS170" i="9"/>
  <c r="BM167" i="9"/>
  <c r="BY167" i="9" s="1"/>
  <c r="E164" i="9"/>
  <c r="CB163" i="9" s="1"/>
  <c r="D164" i="9"/>
  <c r="BQ313" i="9" l="1"/>
  <c r="Z313" i="9"/>
  <c r="BW316" i="9"/>
  <c r="AA291" i="9"/>
  <c r="BX294" i="9"/>
  <c r="BR291" i="9"/>
  <c r="BZ164" i="9"/>
  <c r="V168" i="9"/>
  <c r="BM168" i="9"/>
  <c r="BY168" i="9" s="1"/>
  <c r="BS171" i="9"/>
  <c r="W173" i="9"/>
  <c r="BN173" i="9"/>
  <c r="BT176" i="9"/>
  <c r="F164" i="9"/>
  <c r="B165" i="9"/>
  <c r="CA165" i="9" s="1"/>
  <c r="BX295" i="9" l="1"/>
  <c r="AA292" i="9"/>
  <c r="BR292" i="9"/>
  <c r="BQ314" i="9"/>
  <c r="Z314" i="9"/>
  <c r="BM169" i="9"/>
  <c r="BS172" i="9"/>
  <c r="V169" i="9"/>
  <c r="W174" i="9"/>
  <c r="BN174" i="9"/>
  <c r="BT177" i="9"/>
  <c r="E165" i="9"/>
  <c r="D165" i="9"/>
  <c r="BR293" i="9" l="1"/>
  <c r="BX296" i="9"/>
  <c r="AA293" i="9"/>
  <c r="BQ315" i="9"/>
  <c r="Z315" i="9"/>
  <c r="W175" i="9"/>
  <c r="BN175" i="9"/>
  <c r="BT178" i="9"/>
  <c r="V170" i="9"/>
  <c r="AE170" i="9" s="1"/>
  <c r="AE171" i="9" s="1"/>
  <c r="BM170" i="9"/>
  <c r="BS173" i="9"/>
  <c r="BZ165" i="9"/>
  <c r="CB164" i="9"/>
  <c r="CE164" i="9" s="1"/>
  <c r="F165" i="9"/>
  <c r="B166" i="9"/>
  <c r="CA166" i="9" s="1"/>
  <c r="BR294" i="9" l="1"/>
  <c r="BX297" i="9"/>
  <c r="AA294" i="9"/>
  <c r="BQ316" i="9"/>
  <c r="Z316" i="9"/>
  <c r="Z317" i="9" s="1"/>
  <c r="Z318" i="9" s="1"/>
  <c r="Z319" i="9" s="1"/>
  <c r="Z320" i="9" s="1"/>
  <c r="Z321" i="9" s="1"/>
  <c r="Z322" i="9" s="1"/>
  <c r="Z323" i="9" s="1"/>
  <c r="Z324" i="9" s="1"/>
  <c r="Z325" i="9" s="1"/>
  <c r="Z326" i="9" s="1"/>
  <c r="Z327" i="9" s="1"/>
  <c r="Z328" i="9" s="1"/>
  <c r="Z329" i="9" s="1"/>
  <c r="Z330" i="9" s="1"/>
  <c r="Z331" i="9" s="1"/>
  <c r="Z332" i="9" s="1"/>
  <c r="Z333" i="9" s="1"/>
  <c r="Z334" i="9" s="1"/>
  <c r="Z335" i="9" s="1"/>
  <c r="Z336" i="9" s="1"/>
  <c r="Z337" i="9" s="1"/>
  <c r="Z338" i="9" s="1"/>
  <c r="Z339" i="9" s="1"/>
  <c r="Z340" i="9" s="1"/>
  <c r="Z341" i="9" s="1"/>
  <c r="Z342" i="9" s="1"/>
  <c r="Z343" i="9" s="1"/>
  <c r="Z344" i="9" s="1"/>
  <c r="Z345" i="9" s="1"/>
  <c r="Z346" i="9" s="1"/>
  <c r="Z347" i="9" s="1"/>
  <c r="Z348" i="9" s="1"/>
  <c r="Z349" i="9" s="1"/>
  <c r="Z350" i="9" s="1"/>
  <c r="Z351" i="9" s="1"/>
  <c r="Z352" i="9" s="1"/>
  <c r="Z353" i="9" s="1"/>
  <c r="Z354" i="9" s="1"/>
  <c r="Z355" i="9" s="1"/>
  <c r="Z356" i="9" s="1"/>
  <c r="Z357" i="9" s="1"/>
  <c r="Z358" i="9" s="1"/>
  <c r="Z359" i="9" s="1"/>
  <c r="Z360" i="9" s="1"/>
  <c r="Z361" i="9" s="1"/>
  <c r="Z362" i="9" s="1"/>
  <c r="Z363" i="9" s="1"/>
  <c r="Z364" i="9" s="1"/>
  <c r="Z365" i="9" s="1"/>
  <c r="Z366" i="9" s="1"/>
  <c r="Z367" i="9" s="1"/>
  <c r="Z368" i="9" s="1"/>
  <c r="Z369" i="9" s="1"/>
  <c r="Z370" i="9" s="1"/>
  <c r="Z371" i="9" s="1"/>
  <c r="Z372" i="9" s="1"/>
  <c r="Z373" i="9" s="1"/>
  <c r="Z374" i="9" s="1"/>
  <c r="Z375" i="9" s="1"/>
  <c r="Z376" i="9" s="1"/>
  <c r="Z377" i="9" s="1"/>
  <c r="Z378" i="9" s="1"/>
  <c r="Z379" i="9" s="1"/>
  <c r="Z380" i="9" s="1"/>
  <c r="Z381" i="9" s="1"/>
  <c r="Z382" i="9" s="1"/>
  <c r="Z383" i="9" s="1"/>
  <c r="Z384" i="9" s="1"/>
  <c r="Z385" i="9" s="1"/>
  <c r="Z386" i="9" s="1"/>
  <c r="Z387" i="9" s="1"/>
  <c r="Z388" i="9" s="1"/>
  <c r="Z389" i="9" s="1"/>
  <c r="Z390" i="9" s="1"/>
  <c r="Z391" i="9" s="1"/>
  <c r="Z392" i="9" s="1"/>
  <c r="Z393" i="9" s="1"/>
  <c r="Z394" i="9" s="1"/>
  <c r="Z395" i="9" s="1"/>
  <c r="Z396" i="9" s="1"/>
  <c r="Z397" i="9" s="1"/>
  <c r="Z398" i="9" s="1"/>
  <c r="Z399" i="9" s="1"/>
  <c r="Z400" i="9" s="1"/>
  <c r="Z401" i="9" s="1"/>
  <c r="Z402" i="9" s="1"/>
  <c r="Z403" i="9" s="1"/>
  <c r="Z404" i="9" s="1"/>
  <c r="Z405" i="9" s="1"/>
  <c r="Z406" i="9" s="1"/>
  <c r="Z407" i="9" s="1"/>
  <c r="Z408" i="9" s="1"/>
  <c r="Z409" i="9" s="1"/>
  <c r="Z410" i="9" s="1"/>
  <c r="Z411" i="9" s="1"/>
  <c r="Z412" i="9" s="1"/>
  <c r="Z413" i="9" s="1"/>
  <c r="Z414" i="9" s="1"/>
  <c r="Z415" i="9" s="1"/>
  <c r="Z416" i="9" s="1"/>
  <c r="Z417" i="9" s="1"/>
  <c r="Z418" i="9" s="1"/>
  <c r="Z419" i="9" s="1"/>
  <c r="Z420" i="9" s="1"/>
  <c r="Z421" i="9" s="1"/>
  <c r="V171" i="9"/>
  <c r="BM171" i="9"/>
  <c r="BS174" i="9"/>
  <c r="W176" i="9"/>
  <c r="BN176" i="9"/>
  <c r="BT179" i="9"/>
  <c r="E166" i="9"/>
  <c r="D166" i="9"/>
  <c r="AA295" i="9" l="1"/>
  <c r="BR295" i="9"/>
  <c r="BX298" i="9"/>
  <c r="V172" i="9"/>
  <c r="BS175" i="9"/>
  <c r="BM172" i="9"/>
  <c r="CB165" i="9"/>
  <c r="W177" i="9"/>
  <c r="BN177" i="9"/>
  <c r="BT180" i="9"/>
  <c r="BZ166" i="9"/>
  <c r="F166" i="9"/>
  <c r="B167" i="9"/>
  <c r="CA167" i="9" s="1"/>
  <c r="AA296" i="9" l="1"/>
  <c r="BR296" i="9"/>
  <c r="BX299" i="9"/>
  <c r="BN178" i="9"/>
  <c r="BT181" i="9"/>
  <c r="BS176" i="9"/>
  <c r="BM173" i="9"/>
  <c r="V173" i="9"/>
  <c r="AE172" i="9"/>
  <c r="AE173" i="9" s="1"/>
  <c r="AE174" i="9" s="1"/>
  <c r="AE175" i="9" s="1"/>
  <c r="AE176" i="9" s="1"/>
  <c r="AE177" i="9" s="1"/>
  <c r="AE178" i="9" s="1"/>
  <c r="AE179" i="9" s="1"/>
  <c r="AE180" i="9" s="1"/>
  <c r="AE181" i="9" s="1"/>
  <c r="AE182" i="9" s="1"/>
  <c r="AE183" i="9" s="1"/>
  <c r="AE184" i="9" s="1"/>
  <c r="AE185" i="9" s="1"/>
  <c r="AE186" i="9" s="1"/>
  <c r="AE187" i="9" s="1"/>
  <c r="AE188" i="9" s="1"/>
  <c r="AE189" i="9" s="1"/>
  <c r="AE190" i="9" s="1"/>
  <c r="AE191" i="9" s="1"/>
  <c r="AE192" i="9" s="1"/>
  <c r="AE193" i="9" s="1"/>
  <c r="AE194" i="9" s="1"/>
  <c r="AE195" i="9" s="1"/>
  <c r="AE196" i="9" s="1"/>
  <c r="AE197" i="9" s="1"/>
  <c r="AE198" i="9" s="1"/>
  <c r="AE199" i="9" s="1"/>
  <c r="AE200" i="9" s="1"/>
  <c r="AE201" i="9" s="1"/>
  <c r="AE202" i="9" s="1"/>
  <c r="AE203" i="9" s="1"/>
  <c r="AE204" i="9" s="1"/>
  <c r="AE205" i="9" s="1"/>
  <c r="AE206" i="9" s="1"/>
  <c r="AE207" i="9" s="1"/>
  <c r="AE208" i="9" s="1"/>
  <c r="AE209" i="9" s="1"/>
  <c r="AE210" i="9" s="1"/>
  <c r="AE211" i="9" s="1"/>
  <c r="AE212" i="9" s="1"/>
  <c r="AE213" i="9" s="1"/>
  <c r="AE214" i="9" s="1"/>
  <c r="AE215" i="9" s="1"/>
  <c r="AE216" i="9" s="1"/>
  <c r="AE217" i="9" s="1"/>
  <c r="AE218" i="9" s="1"/>
  <c r="AE219" i="9" s="1"/>
  <c r="AE220" i="9" s="1"/>
  <c r="AE221" i="9" s="1"/>
  <c r="AE222" i="9" s="1"/>
  <c r="AE223" i="9" s="1"/>
  <c r="AE224" i="9" s="1"/>
  <c r="AE225" i="9" s="1"/>
  <c r="AE226" i="9" s="1"/>
  <c r="E167" i="9"/>
  <c r="D167" i="9"/>
  <c r="AA297" i="9" l="1"/>
  <c r="BX300" i="9"/>
  <c r="BR297" i="9"/>
  <c r="BZ167" i="9"/>
  <c r="CB166" i="9"/>
  <c r="V174" i="9"/>
  <c r="BM174" i="9"/>
  <c r="BS177" i="9"/>
  <c r="F167" i="9"/>
  <c r="B168" i="9"/>
  <c r="CA168" i="9" s="1"/>
  <c r="BX301" i="9" l="1"/>
  <c r="AA298" i="9"/>
  <c r="BR298" i="9"/>
  <c r="BM175" i="9"/>
  <c r="BS178" i="9"/>
  <c r="E168" i="9"/>
  <c r="CB167" i="9" s="1"/>
  <c r="Y168" i="9"/>
  <c r="D168" i="9"/>
  <c r="AA299" i="9" l="1"/>
  <c r="BR299" i="9"/>
  <c r="BX302" i="9"/>
  <c r="V176" i="9"/>
  <c r="Y169" i="9"/>
  <c r="BP169" i="9"/>
  <c r="BY169" i="9" s="1"/>
  <c r="BV172" i="9"/>
  <c r="BZ168" i="9"/>
  <c r="F168" i="9"/>
  <c r="B169" i="9"/>
  <c r="CA169" i="9" s="1"/>
  <c r="BR300" i="9" l="1"/>
  <c r="BX303" i="9"/>
  <c r="AA300" i="9"/>
  <c r="Y170" i="9"/>
  <c r="BP170" i="9"/>
  <c r="BY170" i="9" s="1"/>
  <c r="BV173" i="9"/>
  <c r="V177" i="9"/>
  <c r="BM177" i="9"/>
  <c r="BS180" i="9"/>
  <c r="E169" i="9"/>
  <c r="CB168" i="9" s="1"/>
  <c r="CE165" i="9" s="1"/>
  <c r="D169" i="9"/>
  <c r="AA301" i="9" l="1"/>
  <c r="BR301" i="9"/>
  <c r="BX304" i="9"/>
  <c r="BM178" i="9"/>
  <c r="BS181" i="9"/>
  <c r="BZ169" i="9"/>
  <c r="Y171" i="9"/>
  <c r="BP171" i="9"/>
  <c r="BY171" i="9" s="1"/>
  <c r="BV174" i="9"/>
  <c r="F169" i="9"/>
  <c r="B170" i="9"/>
  <c r="CA170" i="9" s="1"/>
  <c r="BX305" i="9" l="1"/>
  <c r="AA302" i="9"/>
  <c r="BR302" i="9"/>
  <c r="Y172" i="9"/>
  <c r="BV175" i="9"/>
  <c r="BP172" i="9"/>
  <c r="BY172" i="9" s="1"/>
  <c r="D170" i="9"/>
  <c r="E170" i="9"/>
  <c r="BX306" i="9" l="1"/>
  <c r="AA303" i="9"/>
  <c r="BR303" i="9"/>
  <c r="BZ170" i="9"/>
  <c r="CB169" i="9"/>
  <c r="Y173" i="9"/>
  <c r="BV176" i="9"/>
  <c r="BP173" i="9"/>
  <c r="BY173" i="9" s="1"/>
  <c r="F170" i="9"/>
  <c r="B171" i="9"/>
  <c r="CA171" i="9" s="1"/>
  <c r="AA304" i="9" l="1"/>
  <c r="BR304" i="9"/>
  <c r="BX307" i="9"/>
  <c r="Y174" i="9"/>
  <c r="BP174" i="9"/>
  <c r="BV177" i="9"/>
  <c r="D171" i="9"/>
  <c r="E171" i="9"/>
  <c r="AA305" i="9" l="1"/>
  <c r="BX308" i="9"/>
  <c r="BR305" i="9"/>
  <c r="BZ171" i="9"/>
  <c r="CB170" i="9"/>
  <c r="Y175" i="9"/>
  <c r="BP175" i="9"/>
  <c r="BV178" i="9"/>
  <c r="F171" i="9"/>
  <c r="B172" i="9"/>
  <c r="CA172" i="9" s="1"/>
  <c r="AA306" i="9" l="1"/>
  <c r="BR306" i="9"/>
  <c r="BX309" i="9"/>
  <c r="Y176" i="9"/>
  <c r="BP176" i="9"/>
  <c r="BV179" i="9"/>
  <c r="D172" i="9"/>
  <c r="E172" i="9"/>
  <c r="BZ172" i="9" s="1"/>
  <c r="BX310" i="9" l="1"/>
  <c r="AA307" i="9"/>
  <c r="BR307" i="9"/>
  <c r="CB171" i="9"/>
  <c r="Y177" i="9"/>
  <c r="BP177" i="9"/>
  <c r="BV180" i="9"/>
  <c r="F172" i="9"/>
  <c r="B173" i="9"/>
  <c r="CA173" i="9" s="1"/>
  <c r="BR308" i="9" l="1"/>
  <c r="AA308" i="9"/>
  <c r="BX311" i="9"/>
  <c r="Y178" i="9"/>
  <c r="BP178" i="9"/>
  <c r="BV181" i="9"/>
  <c r="D173" i="9"/>
  <c r="X173" i="9"/>
  <c r="E173" i="9"/>
  <c r="AA309" i="9" l="1"/>
  <c r="BR309" i="9"/>
  <c r="BX312" i="9"/>
  <c r="BZ173" i="9"/>
  <c r="CB172" i="9"/>
  <c r="X174" i="9"/>
  <c r="BO174" i="9"/>
  <c r="BY174" i="9" s="1"/>
  <c r="BU177" i="9"/>
  <c r="Y179" i="9"/>
  <c r="BP179" i="9"/>
  <c r="BV182" i="9"/>
  <c r="F173" i="9"/>
  <c r="B174" i="9"/>
  <c r="CA174" i="9" s="1"/>
  <c r="AA310" i="9" l="1"/>
  <c r="BR310" i="9"/>
  <c r="BX313" i="9"/>
  <c r="X175" i="9"/>
  <c r="BO175" i="9"/>
  <c r="BY175" i="9" s="1"/>
  <c r="BU178" i="9"/>
  <c r="Y180" i="9"/>
  <c r="BV183" i="9"/>
  <c r="BP180" i="9"/>
  <c r="D174" i="9"/>
  <c r="E174" i="9"/>
  <c r="CB173" i="9" s="1"/>
  <c r="CE166" i="9" s="1"/>
  <c r="AA311" i="9" l="1"/>
  <c r="BR311" i="9"/>
  <c r="BX314" i="9"/>
  <c r="X176" i="9"/>
  <c r="BO176" i="9"/>
  <c r="BU179" i="9"/>
  <c r="Y181" i="9"/>
  <c r="BV184" i="9"/>
  <c r="BP181" i="9"/>
  <c r="BZ174" i="9"/>
  <c r="B175" i="9"/>
  <c r="F174" i="9"/>
  <c r="V175" i="9" l="1"/>
  <c r="BM176" i="9" s="1"/>
  <c r="BY176" i="9" s="1"/>
  <c r="CA175" i="9"/>
  <c r="BX315" i="9"/>
  <c r="AA312" i="9"/>
  <c r="BR312" i="9"/>
  <c r="X177" i="9"/>
  <c r="BO177" i="9"/>
  <c r="BY177" i="9" s="1"/>
  <c r="BU180" i="9"/>
  <c r="Y182" i="9"/>
  <c r="BP182" i="9"/>
  <c r="BV185" i="9"/>
  <c r="E175" i="9"/>
  <c r="D175" i="9"/>
  <c r="BS179" i="9" l="1"/>
  <c r="BR313" i="9"/>
  <c r="AA313" i="9"/>
  <c r="BX316" i="9"/>
  <c r="CB174" i="9"/>
  <c r="X178" i="9"/>
  <c r="BU181" i="9"/>
  <c r="BO178" i="9"/>
  <c r="BY178" i="9" s="1"/>
  <c r="Y183" i="9"/>
  <c r="BP183" i="9"/>
  <c r="BV186" i="9"/>
  <c r="BZ175" i="9"/>
  <c r="B176" i="9"/>
  <c r="CA176" i="9" s="1"/>
  <c r="F175" i="9"/>
  <c r="BR314" i="9" l="1"/>
  <c r="AA314" i="9"/>
  <c r="X179" i="9"/>
  <c r="BO179" i="9"/>
  <c r="BU182" i="9"/>
  <c r="Y184" i="9"/>
  <c r="BP184" i="9"/>
  <c r="BV187" i="9"/>
  <c r="E176" i="9"/>
  <c r="D176" i="9"/>
  <c r="BR315" i="9" l="1"/>
  <c r="AA315" i="9"/>
  <c r="Y185" i="9"/>
  <c r="BP185" i="9"/>
  <c r="BV188" i="9"/>
  <c r="X180" i="9"/>
  <c r="BU183" i="9"/>
  <c r="BO180" i="9"/>
  <c r="CB175" i="9"/>
  <c r="BZ176" i="9"/>
  <c r="B177" i="9"/>
  <c r="CA177" i="9" s="1"/>
  <c r="F176" i="9"/>
  <c r="BR316" i="9" l="1"/>
  <c r="AA316" i="9"/>
  <c r="AA317" i="9" s="1"/>
  <c r="AA318" i="9" s="1"/>
  <c r="AA319" i="9" s="1"/>
  <c r="AA320" i="9" s="1"/>
  <c r="AA321" i="9" s="1"/>
  <c r="AA322" i="9" s="1"/>
  <c r="AA323" i="9" s="1"/>
  <c r="AA324" i="9" s="1"/>
  <c r="AA325" i="9" s="1"/>
  <c r="AA326" i="9" s="1"/>
  <c r="AA327" i="9" s="1"/>
  <c r="AA328" i="9" s="1"/>
  <c r="AA329" i="9" s="1"/>
  <c r="AA330" i="9" s="1"/>
  <c r="AA331" i="9" s="1"/>
  <c r="AA332" i="9" s="1"/>
  <c r="AA333" i="9" s="1"/>
  <c r="AA334" i="9" s="1"/>
  <c r="AA335" i="9" s="1"/>
  <c r="AA336" i="9" s="1"/>
  <c r="AA337" i="9" s="1"/>
  <c r="AA338" i="9" s="1"/>
  <c r="AA339" i="9" s="1"/>
  <c r="AA340" i="9" s="1"/>
  <c r="AA341" i="9" s="1"/>
  <c r="AA342" i="9" s="1"/>
  <c r="AA343" i="9" s="1"/>
  <c r="AA344" i="9" s="1"/>
  <c r="AA345" i="9" s="1"/>
  <c r="AA346" i="9" s="1"/>
  <c r="AA347" i="9" s="1"/>
  <c r="AA348" i="9" s="1"/>
  <c r="AA349" i="9" s="1"/>
  <c r="AA350" i="9" s="1"/>
  <c r="AA351" i="9" s="1"/>
  <c r="AA352" i="9" s="1"/>
  <c r="AA353" i="9" s="1"/>
  <c r="AA354" i="9" s="1"/>
  <c r="AA355" i="9" s="1"/>
  <c r="AA356" i="9" s="1"/>
  <c r="AA357" i="9" s="1"/>
  <c r="AA358" i="9" s="1"/>
  <c r="AA359" i="9" s="1"/>
  <c r="AA360" i="9" s="1"/>
  <c r="AA361" i="9" s="1"/>
  <c r="AA362" i="9" s="1"/>
  <c r="AA363" i="9" s="1"/>
  <c r="AA364" i="9" s="1"/>
  <c r="AA365" i="9" s="1"/>
  <c r="AA366" i="9" s="1"/>
  <c r="AA367" i="9" s="1"/>
  <c r="AA368" i="9" s="1"/>
  <c r="AA369" i="9" s="1"/>
  <c r="AA370" i="9" s="1"/>
  <c r="AA371" i="9" s="1"/>
  <c r="AA372" i="9" s="1"/>
  <c r="AA373" i="9" s="1"/>
  <c r="AA374" i="9" s="1"/>
  <c r="AA375" i="9" s="1"/>
  <c r="AA376" i="9" s="1"/>
  <c r="AA377" i="9" s="1"/>
  <c r="AA378" i="9" s="1"/>
  <c r="AA379" i="9" s="1"/>
  <c r="AA380" i="9" s="1"/>
  <c r="AA381" i="9" s="1"/>
  <c r="AA382" i="9" s="1"/>
  <c r="AA383" i="9" s="1"/>
  <c r="AA384" i="9" s="1"/>
  <c r="AA385" i="9" s="1"/>
  <c r="AA386" i="9" s="1"/>
  <c r="AA387" i="9" s="1"/>
  <c r="AA388" i="9" s="1"/>
  <c r="AA389" i="9" s="1"/>
  <c r="AA390" i="9" s="1"/>
  <c r="AA391" i="9" s="1"/>
  <c r="AA392" i="9" s="1"/>
  <c r="AA393" i="9" s="1"/>
  <c r="AA394" i="9" s="1"/>
  <c r="AA395" i="9" s="1"/>
  <c r="AA396" i="9" s="1"/>
  <c r="AA397" i="9" s="1"/>
  <c r="AA398" i="9" s="1"/>
  <c r="AA399" i="9" s="1"/>
  <c r="AA400" i="9" s="1"/>
  <c r="AA401" i="9" s="1"/>
  <c r="AA402" i="9" s="1"/>
  <c r="AA403" i="9" s="1"/>
  <c r="AA404" i="9" s="1"/>
  <c r="AA405" i="9" s="1"/>
  <c r="AA406" i="9" s="1"/>
  <c r="AA407" i="9" s="1"/>
  <c r="AA408" i="9" s="1"/>
  <c r="AA409" i="9" s="1"/>
  <c r="AA410" i="9" s="1"/>
  <c r="AA411" i="9" s="1"/>
  <c r="AA412" i="9" s="1"/>
  <c r="AA413" i="9" s="1"/>
  <c r="AA414" i="9" s="1"/>
  <c r="AA415" i="9" s="1"/>
  <c r="AA416" i="9" s="1"/>
  <c r="AA417" i="9" s="1"/>
  <c r="AA418" i="9" s="1"/>
  <c r="AA419" i="9" s="1"/>
  <c r="AA420" i="9" s="1"/>
  <c r="AA421" i="9" s="1"/>
  <c r="X181" i="9"/>
  <c r="BU184" i="9"/>
  <c r="BO181" i="9"/>
  <c r="Y186" i="9"/>
  <c r="BV189" i="9"/>
  <c r="BP186" i="9"/>
  <c r="E177" i="9"/>
  <c r="CB176" i="9" s="1"/>
  <c r="D177" i="9"/>
  <c r="X182" i="9" l="1"/>
  <c r="BU185" i="9"/>
  <c r="BO182" i="9"/>
  <c r="Y187" i="9"/>
  <c r="BP187" i="9"/>
  <c r="BV190" i="9"/>
  <c r="BZ177" i="9"/>
  <c r="B178" i="9"/>
  <c r="F177" i="9"/>
  <c r="V178" i="9" l="1"/>
  <c r="BM179" i="9" s="1"/>
  <c r="CA178" i="9"/>
  <c r="Y188" i="9"/>
  <c r="BV191" i="9"/>
  <c r="BP188" i="9"/>
  <c r="X183" i="9"/>
  <c r="BO183" i="9"/>
  <c r="BU186" i="9"/>
  <c r="W178" i="9"/>
  <c r="E178" i="9"/>
  <c r="D178" i="9"/>
  <c r="V179" i="9" l="1"/>
  <c r="V180" i="9" s="1"/>
  <c r="BS182" i="9"/>
  <c r="Y189" i="9"/>
  <c r="BV192" i="9"/>
  <c r="BP189" i="9"/>
  <c r="BZ178" i="9"/>
  <c r="X184" i="9"/>
  <c r="BO184" i="9"/>
  <c r="BU187" i="9"/>
  <c r="W179" i="9"/>
  <c r="BT182" i="9"/>
  <c r="BN179" i="9"/>
  <c r="BY179" i="9" s="1"/>
  <c r="CB177" i="9"/>
  <c r="CE167" i="9" s="1"/>
  <c r="B179" i="9"/>
  <c r="CA179" i="9" s="1"/>
  <c r="F178" i="9"/>
  <c r="BS183" i="9" l="1"/>
  <c r="BM180" i="9"/>
  <c r="V181" i="9"/>
  <c r="BM181" i="9"/>
  <c r="BS184" i="9"/>
  <c r="X185" i="9"/>
  <c r="BO185" i="9"/>
  <c r="BU188" i="9"/>
  <c r="W180" i="9"/>
  <c r="BN180" i="9"/>
  <c r="BY180" i="9" s="1"/>
  <c r="BT183" i="9"/>
  <c r="BP190" i="9"/>
  <c r="BV193" i="9"/>
  <c r="E179" i="9"/>
  <c r="D179" i="9"/>
  <c r="BZ179" i="9" l="1"/>
  <c r="CB178" i="9"/>
  <c r="W181" i="9"/>
  <c r="BT184" i="9"/>
  <c r="BN181" i="9"/>
  <c r="BY181" i="9" s="1"/>
  <c r="V182" i="9"/>
  <c r="BS185" i="9"/>
  <c r="BM182" i="9"/>
  <c r="X186" i="9"/>
  <c r="BU189" i="9"/>
  <c r="BO186" i="9"/>
  <c r="F179" i="9"/>
  <c r="B180" i="9"/>
  <c r="CA180" i="9" s="1"/>
  <c r="W182" i="9" l="1"/>
  <c r="BT185" i="9"/>
  <c r="BN182" i="9"/>
  <c r="BY182" i="9" s="1"/>
  <c r="X187" i="9"/>
  <c r="BO187" i="9"/>
  <c r="BU190" i="9"/>
  <c r="BS186" i="9"/>
  <c r="BM183" i="9"/>
  <c r="E180" i="9"/>
  <c r="D180" i="9"/>
  <c r="X188" i="9" l="1"/>
  <c r="BU191" i="9"/>
  <c r="BO188" i="9"/>
  <c r="CB179" i="9"/>
  <c r="BZ180" i="9"/>
  <c r="W183" i="9"/>
  <c r="BN183" i="9"/>
  <c r="BY183" i="9" s="1"/>
  <c r="BT186" i="9"/>
  <c r="F180" i="9"/>
  <c r="B181" i="9"/>
  <c r="CA181" i="9" s="1"/>
  <c r="W184" i="9" l="1"/>
  <c r="BN184" i="9"/>
  <c r="BT187" i="9"/>
  <c r="X189" i="9"/>
  <c r="BU192" i="9"/>
  <c r="BO189" i="9"/>
  <c r="E181" i="9"/>
  <c r="D181" i="9"/>
  <c r="X190" i="9" l="1"/>
  <c r="BU193" i="9"/>
  <c r="BO190" i="9"/>
  <c r="W185" i="9"/>
  <c r="BN185" i="9"/>
  <c r="BT188" i="9"/>
  <c r="CB180" i="9"/>
  <c r="BZ181" i="9"/>
  <c r="F181" i="9"/>
  <c r="B182" i="9"/>
  <c r="CA182" i="9" s="1"/>
  <c r="W186" i="9" l="1"/>
  <c r="BN186" i="9"/>
  <c r="BT189" i="9"/>
  <c r="X191" i="9"/>
  <c r="BO191" i="9"/>
  <c r="BU194" i="9"/>
  <c r="E182" i="9"/>
  <c r="CB181" i="9" s="1"/>
  <c r="CE168" i="9" s="1"/>
  <c r="D182" i="9"/>
  <c r="BZ182" i="9" l="1"/>
  <c r="X192" i="9"/>
  <c r="BO192" i="9"/>
  <c r="BU195" i="9"/>
  <c r="W187" i="9"/>
  <c r="BT190" i="9"/>
  <c r="BN187" i="9"/>
  <c r="F182" i="9"/>
  <c r="B183" i="9"/>
  <c r="CA183" i="9" s="1"/>
  <c r="X193" i="9" l="1"/>
  <c r="BO193" i="9"/>
  <c r="BU196" i="9"/>
  <c r="W188" i="9"/>
  <c r="BN188" i="9"/>
  <c r="BT191" i="9"/>
  <c r="V183" i="9"/>
  <c r="E183" i="9"/>
  <c r="CB182" i="9" s="1"/>
  <c r="D183" i="9"/>
  <c r="X194" i="9" l="1"/>
  <c r="BU197" i="9"/>
  <c r="BO194" i="9"/>
  <c r="W189" i="9"/>
  <c r="BT192" i="9"/>
  <c r="BN189" i="9"/>
  <c r="BZ183" i="9"/>
  <c r="V184" i="9"/>
  <c r="V185" i="9" s="1"/>
  <c r="BM184" i="9"/>
  <c r="BY184" i="9" s="1"/>
  <c r="BS187" i="9"/>
  <c r="F183" i="9"/>
  <c r="B184" i="9"/>
  <c r="CA184" i="9" s="1"/>
  <c r="V186" i="9" l="1"/>
  <c r="BM186" i="9"/>
  <c r="BY186" i="9" s="1"/>
  <c r="BS189" i="9"/>
  <c r="W190" i="9"/>
  <c r="BT193" i="9"/>
  <c r="BN190" i="9"/>
  <c r="BM185" i="9"/>
  <c r="BY185" i="9" s="1"/>
  <c r="BS188" i="9"/>
  <c r="BO195" i="9"/>
  <c r="BU198" i="9"/>
  <c r="AC196" i="9"/>
  <c r="E184" i="9"/>
  <c r="BZ184" i="9" s="1"/>
  <c r="D184" i="9"/>
  <c r="CB183" i="9" l="1"/>
  <c r="W191" i="9"/>
  <c r="BN191" i="9"/>
  <c r="BT194" i="9"/>
  <c r="V187" i="9"/>
  <c r="BS190" i="9"/>
  <c r="BM187" i="9"/>
  <c r="BY187" i="9" s="1"/>
  <c r="F184" i="9"/>
  <c r="B185" i="9"/>
  <c r="CA185" i="9" s="1"/>
  <c r="W192" i="9" l="1"/>
  <c r="BN192" i="9"/>
  <c r="BT195" i="9"/>
  <c r="V188" i="9"/>
  <c r="BS191" i="9"/>
  <c r="BM188" i="9"/>
  <c r="BY188" i="9" s="1"/>
  <c r="E185" i="9"/>
  <c r="D185" i="9"/>
  <c r="BZ185" i="9" l="1"/>
  <c r="CB184" i="9"/>
  <c r="V189" i="9"/>
  <c r="BM189" i="9"/>
  <c r="BY189" i="9" s="1"/>
  <c r="BS192" i="9"/>
  <c r="W193" i="9"/>
  <c r="BT196" i="9"/>
  <c r="BN193" i="9"/>
  <c r="F185" i="9"/>
  <c r="B186" i="9"/>
  <c r="CA186" i="9" s="1"/>
  <c r="V190" i="9" l="1"/>
  <c r="BS193" i="9"/>
  <c r="BM190" i="9"/>
  <c r="BY190" i="9" s="1"/>
  <c r="W194" i="9"/>
  <c r="BN194" i="9"/>
  <c r="BT197" i="9"/>
  <c r="E186" i="9"/>
  <c r="CB185" i="9" s="1"/>
  <c r="D186" i="9"/>
  <c r="W195" i="9" l="1"/>
  <c r="BT199" i="9" s="1"/>
  <c r="BN195" i="9"/>
  <c r="BT198" i="9"/>
  <c r="BZ186" i="9"/>
  <c r="V191" i="9"/>
  <c r="BS194" i="9"/>
  <c r="BM191" i="9"/>
  <c r="F186" i="9"/>
  <c r="B187" i="9"/>
  <c r="CA187" i="9" s="1"/>
  <c r="W196" i="9" l="1"/>
  <c r="BT200" i="9" s="1"/>
  <c r="BN196" i="9"/>
  <c r="V192" i="9"/>
  <c r="BM192" i="9"/>
  <c r="BS195" i="9"/>
  <c r="E187" i="9"/>
  <c r="CB186" i="9" s="1"/>
  <c r="CE169" i="9" s="1"/>
  <c r="D187" i="9"/>
  <c r="V193" i="9" l="1"/>
  <c r="BS196" i="9"/>
  <c r="BM193" i="9"/>
  <c r="BZ187" i="9"/>
  <c r="W197" i="9"/>
  <c r="BT201" i="9" s="1"/>
  <c r="BN197" i="9"/>
  <c r="B188" i="9"/>
  <c r="CA188" i="9" s="1"/>
  <c r="F187" i="9"/>
  <c r="W198" i="9" l="1"/>
  <c r="BN198" i="9"/>
  <c r="V194" i="9"/>
  <c r="BS197" i="9"/>
  <c r="BM194" i="9"/>
  <c r="E188" i="9"/>
  <c r="BZ188" i="9" s="1"/>
  <c r="D188" i="9"/>
  <c r="BN199" i="9" l="1"/>
  <c r="BT202" i="9"/>
  <c r="W199" i="9"/>
  <c r="CB187" i="9"/>
  <c r="V195" i="9"/>
  <c r="BS199" i="9" s="1"/>
  <c r="BS198" i="9"/>
  <c r="BM195" i="9"/>
  <c r="B189" i="9"/>
  <c r="CA189" i="9" s="1"/>
  <c r="F188" i="9"/>
  <c r="BN200" i="9" l="1"/>
  <c r="BT203" i="9"/>
  <c r="V196" i="9"/>
  <c r="BS200" i="9" s="1"/>
  <c r="BM196" i="9"/>
  <c r="E189" i="9"/>
  <c r="D189" i="9"/>
  <c r="BZ189" i="9" l="1"/>
  <c r="CB188" i="9"/>
  <c r="BM197" i="9"/>
  <c r="V197" i="9"/>
  <c r="B190" i="9"/>
  <c r="CA190" i="9" s="1"/>
  <c r="F189" i="9"/>
  <c r="AC197" i="9" l="1"/>
  <c r="AC198" i="9" s="1"/>
  <c r="AC199" i="9" s="1"/>
  <c r="BS201" i="9"/>
  <c r="V198" i="9"/>
  <c r="BM198" i="9"/>
  <c r="E190" i="9"/>
  <c r="CB189" i="9" s="1"/>
  <c r="Y190" i="9"/>
  <c r="D190" i="9"/>
  <c r="BM199" i="9" l="1"/>
  <c r="BS202" i="9"/>
  <c r="BZ190" i="9"/>
  <c r="Y191" i="9"/>
  <c r="BV194" i="9"/>
  <c r="BP191" i="9"/>
  <c r="BY191" i="9" s="1"/>
  <c r="V199" i="9"/>
  <c r="B191" i="9"/>
  <c r="CA191" i="9" s="1"/>
  <c r="F190" i="9"/>
  <c r="BM200" i="9" l="1"/>
  <c r="BS203" i="9"/>
  <c r="Y192" i="9"/>
  <c r="BP192" i="9"/>
  <c r="BY192" i="9" s="1"/>
  <c r="BV195" i="9"/>
  <c r="V200" i="9"/>
  <c r="E191" i="9"/>
  <c r="D191" i="9"/>
  <c r="BM201" i="9" l="1"/>
  <c r="BS204" i="9"/>
  <c r="CB190" i="9"/>
  <c r="CE170" i="9" s="1"/>
  <c r="Y193" i="9"/>
  <c r="BV196" i="9"/>
  <c r="BP193" i="9"/>
  <c r="BY193" i="9" s="1"/>
  <c r="V201" i="9"/>
  <c r="AC200" i="9"/>
  <c r="AC201" i="9" s="1"/>
  <c r="AC202" i="9" s="1"/>
  <c r="AC203" i="9" s="1"/>
  <c r="AC204" i="9" s="1"/>
  <c r="AC205" i="9" s="1"/>
  <c r="AC206" i="9" s="1"/>
  <c r="AC207" i="9" s="1"/>
  <c r="AC208" i="9" s="1"/>
  <c r="AC209" i="9" s="1"/>
  <c r="AC210" i="9" s="1"/>
  <c r="AC211" i="9" s="1"/>
  <c r="AC212" i="9" s="1"/>
  <c r="AC213" i="9" s="1"/>
  <c r="AC214" i="9" s="1"/>
  <c r="AC215" i="9" s="1"/>
  <c r="AC216" i="9" s="1"/>
  <c r="AC217" i="9" s="1"/>
  <c r="AC218" i="9" s="1"/>
  <c r="AC219" i="9" s="1"/>
  <c r="AC220" i="9" s="1"/>
  <c r="AC221" i="9" s="1"/>
  <c r="AC222" i="9" s="1"/>
  <c r="AC223" i="9" s="1"/>
  <c r="AC224" i="9" s="1"/>
  <c r="AC225" i="9" s="1"/>
  <c r="AC226" i="9" s="1"/>
  <c r="AC227" i="9" s="1"/>
  <c r="AC228" i="9" s="1"/>
  <c r="AC229" i="9" s="1"/>
  <c r="AC230" i="9" s="1"/>
  <c r="AC231" i="9" s="1"/>
  <c r="AC232" i="9" s="1"/>
  <c r="AC233" i="9" s="1"/>
  <c r="AC234" i="9" s="1"/>
  <c r="AC235" i="9" s="1"/>
  <c r="AC236" i="9" s="1"/>
  <c r="AC237" i="9" s="1"/>
  <c r="AC238" i="9" s="1"/>
  <c r="AC239" i="9" s="1"/>
  <c r="AC240" i="9" s="1"/>
  <c r="AC241" i="9" s="1"/>
  <c r="AC242" i="9" s="1"/>
  <c r="AC243" i="9" s="1"/>
  <c r="AC244" i="9" s="1"/>
  <c r="AC245" i="9" s="1"/>
  <c r="AC246" i="9" s="1"/>
  <c r="AC247" i="9" s="1"/>
  <c r="AC248" i="9" s="1"/>
  <c r="AC249" i="9" s="1"/>
  <c r="AC250" i="9" s="1"/>
  <c r="AC251" i="9" s="1"/>
  <c r="AC252" i="9" s="1"/>
  <c r="AC253" i="9" s="1"/>
  <c r="BZ191" i="9"/>
  <c r="B192" i="9"/>
  <c r="CA192" i="9" s="1"/>
  <c r="F191" i="9"/>
  <c r="BM202" i="9" l="1"/>
  <c r="BS205" i="9"/>
  <c r="V202" i="9"/>
  <c r="Y194" i="9"/>
  <c r="BV197" i="9"/>
  <c r="BP194" i="9"/>
  <c r="BY194" i="9" s="1"/>
  <c r="D192" i="9"/>
  <c r="E192" i="9"/>
  <c r="BZ192" i="9" s="1"/>
  <c r="BM203" i="9" l="1"/>
  <c r="BS206" i="9"/>
  <c r="Y195" i="9"/>
  <c r="BV199" i="9" s="1"/>
  <c r="BP195" i="9"/>
  <c r="BY195" i="9" s="1"/>
  <c r="BV198" i="9"/>
  <c r="CB191" i="9"/>
  <c r="V203" i="9"/>
  <c r="B193" i="9"/>
  <c r="CA193" i="9" s="1"/>
  <c r="F192" i="9"/>
  <c r="BS207" i="9" l="1"/>
  <c r="BM204" i="9"/>
  <c r="V204" i="9"/>
  <c r="Y196" i="9"/>
  <c r="BV200" i="9" s="1"/>
  <c r="BP196" i="9"/>
  <c r="D193" i="9"/>
  <c r="E193" i="9"/>
  <c r="BM205" i="9" l="1"/>
  <c r="BS208" i="9"/>
  <c r="BZ193" i="9"/>
  <c r="CB192" i="9"/>
  <c r="Y197" i="9"/>
  <c r="BV201" i="9" s="1"/>
  <c r="BP197" i="9"/>
  <c r="B194" i="9"/>
  <c r="CA194" i="9" s="1"/>
  <c r="F193" i="9"/>
  <c r="Y198" i="9" l="1"/>
  <c r="BP198" i="9"/>
  <c r="D194" i="9"/>
  <c r="E194" i="9"/>
  <c r="BP199" i="9" l="1"/>
  <c r="BV202" i="9"/>
  <c r="Y199" i="9"/>
  <c r="CB193" i="9"/>
  <c r="BZ194" i="9"/>
  <c r="B195" i="9"/>
  <c r="CA195" i="9" s="1"/>
  <c r="F194" i="9"/>
  <c r="BV203" i="9" l="1"/>
  <c r="BP200" i="9"/>
  <c r="Y200" i="9"/>
  <c r="D195" i="9"/>
  <c r="X195" i="9"/>
  <c r="BU199" i="9" s="1"/>
  <c r="E195" i="9"/>
  <c r="BP201" i="9" l="1"/>
  <c r="BV204" i="9"/>
  <c r="X196" i="9"/>
  <c r="BU200" i="9" s="1"/>
  <c r="BO196" i="9"/>
  <c r="BY196" i="9" s="1"/>
  <c r="BZ195" i="9"/>
  <c r="CB194" i="9"/>
  <c r="Y201" i="9"/>
  <c r="B196" i="9"/>
  <c r="CA196" i="9" s="1"/>
  <c r="F195" i="9"/>
  <c r="BP202" i="9" l="1"/>
  <c r="BV205" i="9"/>
  <c r="Y202" i="9"/>
  <c r="X197" i="9"/>
  <c r="BU201" i="9" s="1"/>
  <c r="BO197" i="9"/>
  <c r="BY197" i="9" s="1"/>
  <c r="D196" i="9"/>
  <c r="E196" i="9"/>
  <c r="CB195" i="9" s="1"/>
  <c r="CE171" i="9" s="1"/>
  <c r="BP203" i="9" l="1"/>
  <c r="BV206" i="9"/>
  <c r="Y203" i="9"/>
  <c r="X198" i="9"/>
  <c r="BO198" i="9"/>
  <c r="BY198" i="9" s="1"/>
  <c r="BZ196" i="9"/>
  <c r="B197" i="9"/>
  <c r="CA197" i="9" s="1"/>
  <c r="F196" i="9"/>
  <c r="BO199" i="9" l="1"/>
  <c r="BY199" i="9" s="1"/>
  <c r="BU202" i="9"/>
  <c r="BP204" i="9"/>
  <c r="BV207" i="9"/>
  <c r="X199" i="9"/>
  <c r="Y204" i="9"/>
  <c r="E197" i="9"/>
  <c r="D197" i="9"/>
  <c r="BV208" i="9" l="1"/>
  <c r="BP205" i="9"/>
  <c r="BO200" i="9"/>
  <c r="BY200" i="9" s="1"/>
  <c r="BU203" i="9"/>
  <c r="Y205" i="9"/>
  <c r="BZ197" i="9"/>
  <c r="CB196" i="9"/>
  <c r="X200" i="9"/>
  <c r="B198" i="9"/>
  <c r="CA198" i="9" s="1"/>
  <c r="F197" i="9"/>
  <c r="BU204" i="9" l="1"/>
  <c r="BO201" i="9"/>
  <c r="BP206" i="9"/>
  <c r="BV209" i="9"/>
  <c r="X201" i="9"/>
  <c r="Y206" i="9"/>
  <c r="E198" i="9"/>
  <c r="D198" i="9"/>
  <c r="BP207" i="9" l="1"/>
  <c r="BV210" i="9"/>
  <c r="BO202" i="9"/>
  <c r="BU205" i="9"/>
  <c r="BZ198" i="9"/>
  <c r="CB197" i="9"/>
  <c r="X202" i="9"/>
  <c r="Y207" i="9"/>
  <c r="B199" i="9"/>
  <c r="CA199" i="9" s="1"/>
  <c r="F198" i="9"/>
  <c r="BP208" i="9" l="1"/>
  <c r="BV211" i="9"/>
  <c r="BO203" i="9"/>
  <c r="BU206" i="9"/>
  <c r="X203" i="9"/>
  <c r="Y208" i="9"/>
  <c r="E199" i="9"/>
  <c r="BZ199" i="9" s="1"/>
  <c r="D199" i="9"/>
  <c r="BP209" i="9" l="1"/>
  <c r="BV212" i="9"/>
  <c r="BO204" i="9"/>
  <c r="BU207" i="9"/>
  <c r="Y209" i="9"/>
  <c r="CB198" i="9"/>
  <c r="X204" i="9"/>
  <c r="B200" i="9"/>
  <c r="CA200" i="9" s="1"/>
  <c r="F199" i="9"/>
  <c r="BO205" i="9" l="1"/>
  <c r="BU208" i="9"/>
  <c r="BV213" i="9"/>
  <c r="BP210" i="9"/>
  <c r="X205" i="9"/>
  <c r="Y210" i="9"/>
  <c r="W200" i="9"/>
  <c r="E200" i="9"/>
  <c r="D200" i="9"/>
  <c r="BU209" i="9" l="1"/>
  <c r="BO206" i="9"/>
  <c r="BN201" i="9"/>
  <c r="BY201" i="9" s="1"/>
  <c r="BT204" i="9"/>
  <c r="BZ200" i="9"/>
  <c r="CB199" i="9"/>
  <c r="CE172" i="9" s="1"/>
  <c r="BP211" i="9"/>
  <c r="BV214" i="9"/>
  <c r="W201" i="9"/>
  <c r="X206" i="9"/>
  <c r="Y211" i="9"/>
  <c r="B201" i="9"/>
  <c r="CA201" i="9" s="1"/>
  <c r="F200" i="9"/>
  <c r="BP212" i="9" l="1"/>
  <c r="BV215" i="9"/>
  <c r="BT205" i="9"/>
  <c r="BN202" i="9"/>
  <c r="BY202" i="9" s="1"/>
  <c r="BO207" i="9"/>
  <c r="BU210" i="9"/>
  <c r="W202" i="9"/>
  <c r="X207" i="9"/>
  <c r="E201" i="9"/>
  <c r="D201" i="9"/>
  <c r="BO208" i="9" l="1"/>
  <c r="BU211" i="9"/>
  <c r="BN203" i="9"/>
  <c r="BY203" i="9" s="1"/>
  <c r="BT206" i="9"/>
  <c r="BZ201" i="9"/>
  <c r="CB200" i="9"/>
  <c r="X208" i="9"/>
  <c r="W203" i="9"/>
  <c r="F201" i="9"/>
  <c r="B202" i="9"/>
  <c r="CA202" i="9" s="1"/>
  <c r="BN204" i="9" l="1"/>
  <c r="BY204" i="9" s="1"/>
  <c r="BT207" i="9"/>
  <c r="BO209" i="9"/>
  <c r="BU212" i="9"/>
  <c r="W204" i="9"/>
  <c r="X209" i="9"/>
  <c r="E202" i="9"/>
  <c r="BZ202" i="9" s="1"/>
  <c r="D202" i="9"/>
  <c r="BO210" i="9" l="1"/>
  <c r="BU213" i="9"/>
  <c r="CB201" i="9"/>
  <c r="BN205" i="9"/>
  <c r="BY205" i="9" s="1"/>
  <c r="BT208" i="9"/>
  <c r="X210" i="9"/>
  <c r="W205" i="9"/>
  <c r="F202" i="9"/>
  <c r="B203" i="9"/>
  <c r="CA203" i="9" s="1"/>
  <c r="BN206" i="9" l="1"/>
  <c r="BT209" i="9"/>
  <c r="BU214" i="9"/>
  <c r="BO211" i="9"/>
  <c r="W206" i="9"/>
  <c r="AD205" i="9"/>
  <c r="AD206" i="9" s="1"/>
  <c r="X211" i="9"/>
  <c r="E203" i="9"/>
  <c r="D203" i="9"/>
  <c r="BZ203" i="9" l="1"/>
  <c r="CB202" i="9"/>
  <c r="BO212" i="9"/>
  <c r="BU215" i="9"/>
  <c r="BT210" i="9"/>
  <c r="BN207" i="9"/>
  <c r="X212" i="9"/>
  <c r="W207" i="9"/>
  <c r="B204" i="9"/>
  <c r="CA204" i="9" s="1"/>
  <c r="F203" i="9"/>
  <c r="X213" i="9" l="1"/>
  <c r="BO213" i="9"/>
  <c r="BU216" i="9"/>
  <c r="BN208" i="9"/>
  <c r="BT211" i="9"/>
  <c r="AD207" i="9"/>
  <c r="AD208" i="9" s="1"/>
  <c r="AD209" i="9" s="1"/>
  <c r="AD210" i="9" s="1"/>
  <c r="AD211" i="9" s="1"/>
  <c r="AD212" i="9" s="1"/>
  <c r="AD213" i="9" s="1"/>
  <c r="AD214" i="9" s="1"/>
  <c r="AD215" i="9" s="1"/>
  <c r="AD216" i="9" s="1"/>
  <c r="W208" i="9"/>
  <c r="E204" i="9"/>
  <c r="D204" i="9"/>
  <c r="BZ204" i="9" l="1"/>
  <c r="BN209" i="9"/>
  <c r="BT212" i="9"/>
  <c r="CB203" i="9"/>
  <c r="CE173" i="9" s="1"/>
  <c r="X214" i="9"/>
  <c r="BO214" i="9"/>
  <c r="BU217" i="9"/>
  <c r="W209" i="9"/>
  <c r="B205" i="9"/>
  <c r="CA205" i="9" s="1"/>
  <c r="F204" i="9"/>
  <c r="X215" i="9" l="1"/>
  <c r="BO215" i="9"/>
  <c r="BU218" i="9"/>
  <c r="BN210" i="9"/>
  <c r="BT213" i="9"/>
  <c r="W210" i="9"/>
  <c r="V205" i="9"/>
  <c r="E205" i="9"/>
  <c r="D205" i="9"/>
  <c r="BN211" i="9" l="1"/>
  <c r="BT214" i="9"/>
  <c r="BZ205" i="9"/>
  <c r="CB204" i="9"/>
  <c r="BM206" i="9"/>
  <c r="BY206" i="9" s="1"/>
  <c r="BS209" i="9"/>
  <c r="X216" i="9"/>
  <c r="BU219" i="9"/>
  <c r="BO216" i="9"/>
  <c r="W211" i="9"/>
  <c r="AD217" i="9"/>
  <c r="AD218" i="9" s="1"/>
  <c r="AD219" i="9" s="1"/>
  <c r="AD220" i="9" s="1"/>
  <c r="AD221" i="9" s="1"/>
  <c r="AD222" i="9" s="1"/>
  <c r="AD223" i="9" s="1"/>
  <c r="AD224" i="9" s="1"/>
  <c r="AD225" i="9" s="1"/>
  <c r="AD226" i="9" s="1"/>
  <c r="AD227" i="9" s="1"/>
  <c r="AD228" i="9" s="1"/>
  <c r="AD229" i="9" s="1"/>
  <c r="AD230" i="9" s="1"/>
  <c r="AD231" i="9" s="1"/>
  <c r="AD232" i="9" s="1"/>
  <c r="AD233" i="9" s="1"/>
  <c r="AD234" i="9" s="1"/>
  <c r="AD235" i="9" s="1"/>
  <c r="AD236" i="9" s="1"/>
  <c r="AD237" i="9" s="1"/>
  <c r="AD238" i="9" s="1"/>
  <c r="AD239" i="9" s="1"/>
  <c r="AD240" i="9" s="1"/>
  <c r="AD241" i="9" s="1"/>
  <c r="AD242" i="9" s="1"/>
  <c r="AD243" i="9" s="1"/>
  <c r="AD244" i="9" s="1"/>
  <c r="AD245" i="9" s="1"/>
  <c r="AD246" i="9" s="1"/>
  <c r="AD247" i="9" s="1"/>
  <c r="AD248" i="9" s="1"/>
  <c r="AD249" i="9" s="1"/>
  <c r="AD250" i="9" s="1"/>
  <c r="AD251" i="9" s="1"/>
  <c r="AD252" i="9" s="1"/>
  <c r="AD253" i="9" s="1"/>
  <c r="AD254" i="9" s="1"/>
  <c r="AD255" i="9" s="1"/>
  <c r="AD256" i="9" s="1"/>
  <c r="AD257" i="9" s="1"/>
  <c r="AD258" i="9" s="1"/>
  <c r="AD259" i="9" s="1"/>
  <c r="B206" i="9"/>
  <c r="F205" i="9"/>
  <c r="V206" i="9" l="1"/>
  <c r="V207" i="9" s="1"/>
  <c r="V208" i="9" s="1"/>
  <c r="CA206" i="9"/>
  <c r="BO217" i="9"/>
  <c r="BU220" i="9"/>
  <c r="BT215" i="9"/>
  <c r="BN212" i="9"/>
  <c r="W212" i="9"/>
  <c r="E206" i="9"/>
  <c r="D206" i="9"/>
  <c r="BS210" i="9" l="1"/>
  <c r="BM207" i="9"/>
  <c r="BY207" i="9" s="1"/>
  <c r="BS212" i="9"/>
  <c r="BM209" i="9"/>
  <c r="BY209" i="9" s="1"/>
  <c r="CB205" i="9"/>
  <c r="BM208" i="9"/>
  <c r="BY208" i="9" s="1"/>
  <c r="BS211" i="9"/>
  <c r="W213" i="9"/>
  <c r="BT216" i="9"/>
  <c r="BN213" i="9"/>
  <c r="BZ206" i="9"/>
  <c r="V209" i="9"/>
  <c r="B207" i="9"/>
  <c r="CA207" i="9" s="1"/>
  <c r="F206" i="9"/>
  <c r="BM210" i="9" l="1"/>
  <c r="BY210" i="9" s="1"/>
  <c r="BS213" i="9"/>
  <c r="W214" i="9"/>
  <c r="BN214" i="9"/>
  <c r="BT217" i="9"/>
  <c r="V210" i="9"/>
  <c r="D207" i="9"/>
  <c r="E207" i="9"/>
  <c r="BZ207" i="9" s="1"/>
  <c r="BM211" i="9" l="1"/>
  <c r="BY211" i="9" s="1"/>
  <c r="BS214" i="9"/>
  <c r="W215" i="9"/>
  <c r="BN215" i="9"/>
  <c r="BT218" i="9"/>
  <c r="CB206" i="9"/>
  <c r="V211" i="9"/>
  <c r="F207" i="9"/>
  <c r="B208" i="9"/>
  <c r="CA208" i="9" s="1"/>
  <c r="W216" i="9" l="1"/>
  <c r="BN216" i="9"/>
  <c r="BT219" i="9"/>
  <c r="BM212" i="9"/>
  <c r="BY212" i="9" s="1"/>
  <c r="BS215" i="9"/>
  <c r="V212" i="9"/>
  <c r="D208" i="9"/>
  <c r="E208" i="9"/>
  <c r="BZ208" i="9" l="1"/>
  <c r="CB207" i="9"/>
  <c r="V213" i="9"/>
  <c r="BM213" i="9"/>
  <c r="BS216" i="9"/>
  <c r="W217" i="9"/>
  <c r="BT220" i="9"/>
  <c r="BN217" i="9"/>
  <c r="F208" i="9"/>
  <c r="B209" i="9"/>
  <c r="CA209" i="9" s="1"/>
  <c r="V214" i="9" l="1"/>
  <c r="BS217" i="9"/>
  <c r="BM214" i="9"/>
  <c r="W218" i="9"/>
  <c r="BT221" i="9"/>
  <c r="BN218" i="9"/>
  <c r="D209" i="9"/>
  <c r="E209" i="9"/>
  <c r="CB208" i="9" s="1"/>
  <c r="BZ209" i="9" l="1"/>
  <c r="V215" i="9"/>
  <c r="BM215" i="9"/>
  <c r="BS218" i="9"/>
  <c r="W219" i="9"/>
  <c r="BN219" i="9"/>
  <c r="BT222" i="9"/>
  <c r="CE174" i="9"/>
  <c r="F209" i="9"/>
  <c r="B210" i="9"/>
  <c r="CA210" i="9" s="1"/>
  <c r="W220" i="9" l="1"/>
  <c r="BN220" i="9"/>
  <c r="BT223" i="9"/>
  <c r="V216" i="9"/>
  <c r="BM216" i="9"/>
  <c r="BS219" i="9"/>
  <c r="D210" i="9"/>
  <c r="E210" i="9"/>
  <c r="BZ210" i="9" s="1"/>
  <c r="CB209" i="9" l="1"/>
  <c r="V217" i="9"/>
  <c r="BM217" i="9"/>
  <c r="BS220" i="9"/>
  <c r="W221" i="9"/>
  <c r="BN221" i="9"/>
  <c r="BT224" i="9"/>
  <c r="F210" i="9"/>
  <c r="B211" i="9"/>
  <c r="CA211" i="9" s="1"/>
  <c r="V218" i="9" l="1"/>
  <c r="BM218" i="9"/>
  <c r="BS221" i="9"/>
  <c r="BN222" i="9"/>
  <c r="BT225" i="9"/>
  <c r="D211" i="9"/>
  <c r="E211" i="9"/>
  <c r="BZ211" i="9" l="1"/>
  <c r="CE175" i="9" s="1"/>
  <c r="CE176" i="9" s="1"/>
  <c r="CB210" i="9"/>
  <c r="V219" i="9"/>
  <c r="BS222" i="9"/>
  <c r="BM219" i="9"/>
  <c r="F211" i="9"/>
  <c r="B212" i="9"/>
  <c r="CA212" i="9" s="1"/>
  <c r="V220" i="9" l="1"/>
  <c r="BM220" i="9"/>
  <c r="BS223" i="9"/>
  <c r="Y212" i="9"/>
  <c r="D212" i="9"/>
  <c r="E212" i="9"/>
  <c r="CB211" i="9" s="1"/>
  <c r="BZ212" i="9" l="1"/>
  <c r="V221" i="9"/>
  <c r="BM221" i="9"/>
  <c r="BS224" i="9"/>
  <c r="Y213" i="9"/>
  <c r="BP213" i="9"/>
  <c r="BY213" i="9" s="1"/>
  <c r="BV216" i="9"/>
  <c r="F212" i="9"/>
  <c r="B213" i="9"/>
  <c r="CA213" i="9" s="1"/>
  <c r="V222" i="9" l="1"/>
  <c r="BM222" i="9"/>
  <c r="BS225" i="9"/>
  <c r="Y214" i="9"/>
  <c r="BP214" i="9"/>
  <c r="BY214" i="9" s="1"/>
  <c r="BV217" i="9"/>
  <c r="D213" i="9"/>
  <c r="E213" i="9"/>
  <c r="Y215" i="9" l="1"/>
  <c r="BV218" i="9"/>
  <c r="BP215" i="9"/>
  <c r="BY215" i="9" s="1"/>
  <c r="V223" i="9"/>
  <c r="BM223" i="9"/>
  <c r="BS226" i="9"/>
  <c r="CB212" i="9"/>
  <c r="BZ213" i="9"/>
  <c r="B214" i="9"/>
  <c r="CA214" i="9" s="1"/>
  <c r="F213" i="9"/>
  <c r="Y216" i="9" l="1"/>
  <c r="BP216" i="9"/>
  <c r="BY216" i="9" s="1"/>
  <c r="BV219" i="9"/>
  <c r="V224" i="9"/>
  <c r="BM224" i="9"/>
  <c r="BS227" i="9"/>
  <c r="D214" i="9"/>
  <c r="E214" i="9"/>
  <c r="BZ214" i="9" l="1"/>
  <c r="CB213" i="9"/>
  <c r="V225" i="9"/>
  <c r="BM225" i="9"/>
  <c r="BS228" i="9"/>
  <c r="Y217" i="9"/>
  <c r="BP217" i="9"/>
  <c r="BY217" i="9" s="1"/>
  <c r="BV220" i="9"/>
  <c r="B215" i="9"/>
  <c r="CA215" i="9" s="1"/>
  <c r="F214" i="9"/>
  <c r="Y218" i="9" l="1"/>
  <c r="BP218" i="9"/>
  <c r="BV221" i="9"/>
  <c r="V226" i="9"/>
  <c r="BM226" i="9"/>
  <c r="BS229" i="9"/>
  <c r="D215" i="9"/>
  <c r="E215" i="9"/>
  <c r="BZ215" i="9" l="1"/>
  <c r="CB214" i="9"/>
  <c r="BM227" i="9"/>
  <c r="BS230" i="9"/>
  <c r="Y219" i="9"/>
  <c r="BP219" i="9"/>
  <c r="BV222" i="9"/>
  <c r="B216" i="9"/>
  <c r="CA216" i="9" s="1"/>
  <c r="F215" i="9"/>
  <c r="Y220" i="9" l="1"/>
  <c r="BV223" i="9"/>
  <c r="BP220" i="9"/>
  <c r="D216" i="9"/>
  <c r="E216" i="9"/>
  <c r="BZ216" i="9" s="1"/>
  <c r="CB215" i="9" l="1"/>
  <c r="Y221" i="9"/>
  <c r="BP221" i="9"/>
  <c r="BV224" i="9"/>
  <c r="B217" i="9"/>
  <c r="CA217" i="9" s="1"/>
  <c r="F216" i="9"/>
  <c r="Y222" i="9" l="1"/>
  <c r="BP222" i="9"/>
  <c r="BV225" i="9"/>
  <c r="X217" i="9"/>
  <c r="D217" i="9"/>
  <c r="E217" i="9"/>
  <c r="X218" i="9" l="1"/>
  <c r="BO218" i="9"/>
  <c r="BY218" i="9" s="1"/>
  <c r="BU221" i="9"/>
  <c r="BZ217" i="9"/>
  <c r="CB216" i="9"/>
  <c r="Y223" i="9"/>
  <c r="BP223" i="9"/>
  <c r="BV226" i="9"/>
  <c r="B218" i="9"/>
  <c r="CA218" i="9" s="1"/>
  <c r="F217" i="9"/>
  <c r="Y224" i="9" l="1"/>
  <c r="BP224" i="9"/>
  <c r="BV227" i="9"/>
  <c r="X219" i="9"/>
  <c r="BO219" i="9"/>
  <c r="BY219" i="9" s="1"/>
  <c r="BU222" i="9"/>
  <c r="D218" i="9"/>
  <c r="E218" i="9"/>
  <c r="X220" i="9" l="1"/>
  <c r="BO220" i="9"/>
  <c r="BY220" i="9" s="1"/>
  <c r="BU223" i="9"/>
  <c r="Y225" i="9"/>
  <c r="BP225" i="9"/>
  <c r="BV228" i="9"/>
  <c r="BZ218" i="9"/>
  <c r="CB217" i="9"/>
  <c r="F218" i="9"/>
  <c r="B219" i="9"/>
  <c r="CA219" i="9" s="1"/>
  <c r="Y226" i="9" l="1"/>
  <c r="BV229" i="9"/>
  <c r="BP226" i="9"/>
  <c r="X221" i="9"/>
  <c r="BU224" i="9"/>
  <c r="BO221" i="9"/>
  <c r="BY221" i="9" s="1"/>
  <c r="E219" i="9"/>
  <c r="D219" i="9"/>
  <c r="X222" i="9" l="1"/>
  <c r="BU225" i="9"/>
  <c r="BO222" i="9"/>
  <c r="BY222" i="9" s="1"/>
  <c r="BZ219" i="9"/>
  <c r="CB218" i="9"/>
  <c r="Y227" i="9"/>
  <c r="BP227" i="9"/>
  <c r="BV230" i="9"/>
  <c r="F219" i="9"/>
  <c r="B220" i="9"/>
  <c r="CA220" i="9" s="1"/>
  <c r="Y228" i="9" l="1"/>
  <c r="BP228" i="9"/>
  <c r="BV231" i="9"/>
  <c r="X223" i="9"/>
  <c r="BO223" i="9"/>
  <c r="BU226" i="9"/>
  <c r="E220" i="9"/>
  <c r="D220" i="9"/>
  <c r="BZ220" i="9" l="1"/>
  <c r="CB219" i="9"/>
  <c r="X224" i="9"/>
  <c r="BO224" i="9"/>
  <c r="BU227" i="9"/>
  <c r="Y229" i="9"/>
  <c r="BP229" i="9"/>
  <c r="BV232" i="9"/>
  <c r="F220" i="9"/>
  <c r="B221" i="9"/>
  <c r="CA221" i="9" s="1"/>
  <c r="X225" i="9" l="1"/>
  <c r="BO225" i="9"/>
  <c r="BU228" i="9"/>
  <c r="Y230" i="9"/>
  <c r="BP230" i="9"/>
  <c r="BV233" i="9"/>
  <c r="E221" i="9"/>
  <c r="CB220" i="9" s="1"/>
  <c r="D221" i="9"/>
  <c r="Y231" i="9" l="1"/>
  <c r="BV234" i="9"/>
  <c r="BP231" i="9"/>
  <c r="BZ221" i="9"/>
  <c r="X226" i="9"/>
  <c r="BO226" i="9"/>
  <c r="BU229" i="9"/>
  <c r="F221" i="9"/>
  <c r="B222" i="9"/>
  <c r="CA222" i="9" s="1"/>
  <c r="X227" i="9" l="1"/>
  <c r="BU230" i="9"/>
  <c r="BO227" i="9"/>
  <c r="Y232" i="9"/>
  <c r="BP232" i="9"/>
  <c r="BV235" i="9"/>
  <c r="W222" i="9"/>
  <c r="E222" i="9"/>
  <c r="D222" i="9"/>
  <c r="W223" i="9" l="1"/>
  <c r="BN223" i="9"/>
  <c r="BY223" i="9" s="1"/>
  <c r="BT226" i="9"/>
  <c r="X228" i="9"/>
  <c r="BO228" i="9"/>
  <c r="BU231" i="9"/>
  <c r="BZ222" i="9"/>
  <c r="BP233" i="9"/>
  <c r="BV236" i="9"/>
  <c r="CB221" i="9"/>
  <c r="F222" i="9"/>
  <c r="B223" i="9"/>
  <c r="CA223" i="9" s="1"/>
  <c r="X229" i="9" l="1"/>
  <c r="BO229" i="9"/>
  <c r="BU232" i="9"/>
  <c r="W224" i="9"/>
  <c r="BN224" i="9"/>
  <c r="BY224" i="9" s="1"/>
  <c r="BT227" i="9"/>
  <c r="E223" i="9"/>
  <c r="D223" i="9"/>
  <c r="W225" i="9" l="1"/>
  <c r="BN225" i="9"/>
  <c r="BY225" i="9" s="1"/>
  <c r="BT228" i="9"/>
  <c r="CB222" i="9"/>
  <c r="BZ223" i="9"/>
  <c r="X230" i="9"/>
  <c r="BO230" i="9"/>
  <c r="BU233" i="9"/>
  <c r="F223" i="9"/>
  <c r="B224" i="9"/>
  <c r="CA224" i="9" s="1"/>
  <c r="X231" i="9" l="1"/>
  <c r="BO231" i="9"/>
  <c r="BU234" i="9"/>
  <c r="W226" i="9"/>
  <c r="BN226" i="9"/>
  <c r="BY226" i="9" s="1"/>
  <c r="BT229" i="9"/>
  <c r="E224" i="9"/>
  <c r="D224" i="9"/>
  <c r="CB223" i="9" l="1"/>
  <c r="BZ224" i="9"/>
  <c r="W227" i="9"/>
  <c r="BN227" i="9"/>
  <c r="BY227" i="9" s="1"/>
  <c r="BT230" i="9"/>
  <c r="X232" i="9"/>
  <c r="BU235" i="9"/>
  <c r="BO232" i="9"/>
  <c r="B225" i="9"/>
  <c r="CA225" i="9" s="1"/>
  <c r="F224" i="9"/>
  <c r="X233" i="9" l="1"/>
  <c r="BO233" i="9"/>
  <c r="BU236" i="9"/>
  <c r="W228" i="9"/>
  <c r="BT231" i="9"/>
  <c r="BN228" i="9"/>
  <c r="E225" i="9"/>
  <c r="CB224" i="9" s="1"/>
  <c r="D225" i="9"/>
  <c r="BZ225" i="9" l="1"/>
  <c r="W229" i="9"/>
  <c r="BN229" i="9"/>
  <c r="BT232" i="9"/>
  <c r="X234" i="9"/>
  <c r="BO234" i="9"/>
  <c r="BU237" i="9"/>
  <c r="B226" i="9"/>
  <c r="CA226" i="9" s="1"/>
  <c r="F225" i="9"/>
  <c r="W230" i="9" l="1"/>
  <c r="BN230" i="9"/>
  <c r="BT233" i="9"/>
  <c r="X235" i="9"/>
  <c r="BO235" i="9"/>
  <c r="BU238" i="9"/>
  <c r="E226" i="9"/>
  <c r="D226" i="9"/>
  <c r="X236" i="9" l="1"/>
  <c r="BO236" i="9"/>
  <c r="BU239" i="9"/>
  <c r="BZ226" i="9"/>
  <c r="CB225" i="9"/>
  <c r="W231" i="9"/>
  <c r="BN231" i="9"/>
  <c r="BT234" i="9"/>
  <c r="B227" i="9"/>
  <c r="CA227" i="9" s="1"/>
  <c r="F226" i="9"/>
  <c r="W232" i="9" l="1"/>
  <c r="BN232" i="9"/>
  <c r="BT235" i="9"/>
  <c r="X237" i="9"/>
  <c r="BU240" i="9"/>
  <c r="BO237" i="9"/>
  <c r="V227" i="9"/>
  <c r="E227" i="9"/>
  <c r="D227" i="9"/>
  <c r="BZ227" i="9" l="1"/>
  <c r="CB226" i="9"/>
  <c r="BO238" i="9"/>
  <c r="BU241" i="9"/>
  <c r="V228" i="9"/>
  <c r="BM228" i="9"/>
  <c r="BY228" i="9" s="1"/>
  <c r="BS231" i="9"/>
  <c r="AE227" i="9"/>
  <c r="AE228" i="9" s="1"/>
  <c r="AE229" i="9" s="1"/>
  <c r="AE230" i="9" s="1"/>
  <c r="AE231" i="9" s="1"/>
  <c r="AE232" i="9" s="1"/>
  <c r="AE233" i="9" s="1"/>
  <c r="AE234" i="9" s="1"/>
  <c r="AE235" i="9" s="1"/>
  <c r="AE236" i="9" s="1"/>
  <c r="AE237" i="9" s="1"/>
  <c r="AE238" i="9" s="1"/>
  <c r="AE239" i="9" s="1"/>
  <c r="AE240" i="9" s="1"/>
  <c r="AE241" i="9" s="1"/>
  <c r="AE242" i="9" s="1"/>
  <c r="AE243" i="9" s="1"/>
  <c r="AE244" i="9" s="1"/>
  <c r="AE245" i="9" s="1"/>
  <c r="AE246" i="9" s="1"/>
  <c r="AE247" i="9" s="1"/>
  <c r="AE248" i="9" s="1"/>
  <c r="AE249" i="9" s="1"/>
  <c r="AE250" i="9" s="1"/>
  <c r="AE251" i="9" s="1"/>
  <c r="AE252" i="9" s="1"/>
  <c r="AE253" i="9" s="1"/>
  <c r="AE254" i="9" s="1"/>
  <c r="AE255" i="9" s="1"/>
  <c r="AE256" i="9" s="1"/>
  <c r="AE257" i="9" s="1"/>
  <c r="AE258" i="9" s="1"/>
  <c r="W233" i="9"/>
  <c r="BT236" i="9"/>
  <c r="BN233" i="9"/>
  <c r="B228" i="9"/>
  <c r="CA228" i="9" s="1"/>
  <c r="F227" i="9"/>
  <c r="W234" i="9" l="1"/>
  <c r="BN234" i="9"/>
  <c r="BT237" i="9"/>
  <c r="V229" i="9"/>
  <c r="BM229" i="9"/>
  <c r="BY229" i="9" s="1"/>
  <c r="BS232" i="9"/>
  <c r="E228" i="9"/>
  <c r="D228" i="9"/>
  <c r="V230" i="9" l="1"/>
  <c r="BS233" i="9"/>
  <c r="BM230" i="9"/>
  <c r="BY230" i="9" s="1"/>
  <c r="BZ228" i="9"/>
  <c r="CB227" i="9"/>
  <c r="W235" i="9"/>
  <c r="BN235" i="9"/>
  <c r="BT238" i="9"/>
  <c r="F228" i="9"/>
  <c r="B229" i="9"/>
  <c r="CA229" i="9" s="1"/>
  <c r="W236" i="9" l="1"/>
  <c r="BN236" i="9"/>
  <c r="BT239" i="9"/>
  <c r="V231" i="9"/>
  <c r="BM231" i="9"/>
  <c r="BY231" i="9" s="1"/>
  <c r="BS234" i="9"/>
  <c r="E229" i="9"/>
  <c r="CB228" i="9" s="1"/>
  <c r="D229" i="9"/>
  <c r="BM232" i="9" l="1"/>
  <c r="BY232" i="9" s="1"/>
  <c r="BS235" i="9"/>
  <c r="BZ229" i="9"/>
  <c r="W237" i="9"/>
  <c r="BN237" i="9"/>
  <c r="BT240" i="9"/>
  <c r="F229" i="9"/>
  <c r="B230" i="9"/>
  <c r="CA230" i="9" s="1"/>
  <c r="W238" i="9" l="1"/>
  <c r="BT241" i="9"/>
  <c r="BN238" i="9"/>
  <c r="E230" i="9"/>
  <c r="CB229" i="9" s="1"/>
  <c r="D230" i="9"/>
  <c r="BZ230" i="9" l="1"/>
  <c r="W239" i="9"/>
  <c r="BT242" i="9"/>
  <c r="BN239" i="9"/>
  <c r="F230" i="9"/>
  <c r="B231" i="9"/>
  <c r="CA231" i="9" s="1"/>
  <c r="W240" i="9" l="1"/>
  <c r="BN240" i="9"/>
  <c r="BT243" i="9"/>
  <c r="E231" i="9"/>
  <c r="D231" i="9"/>
  <c r="BZ231" i="9" l="1"/>
  <c r="CB230" i="9"/>
  <c r="W241" i="9"/>
  <c r="BN241" i="9"/>
  <c r="BT244" i="9"/>
  <c r="F231" i="9"/>
  <c r="B232" i="9"/>
  <c r="V232" i="9" l="1"/>
  <c r="BM233" i="9" s="1"/>
  <c r="BY233" i="9" s="1"/>
  <c r="CA232" i="9"/>
  <c r="W242" i="9"/>
  <c r="BN242" i="9"/>
  <c r="BT245" i="9"/>
  <c r="V233" i="9"/>
  <c r="E232" i="9"/>
  <c r="D232" i="9"/>
  <c r="BS236" i="9" l="1"/>
  <c r="V234" i="9"/>
  <c r="BM234" i="9"/>
  <c r="BS237" i="9"/>
  <c r="BZ232" i="9"/>
  <c r="CB231" i="9"/>
  <c r="BN243" i="9"/>
  <c r="BT246" i="9"/>
  <c r="F232" i="9"/>
  <c r="B233" i="9"/>
  <c r="CA233" i="9" s="1"/>
  <c r="V235" i="9" l="1"/>
  <c r="BS238" i="9"/>
  <c r="BM235" i="9"/>
  <c r="E233" i="9"/>
  <c r="Y233" i="9"/>
  <c r="D233" i="9"/>
  <c r="Y234" i="9" l="1"/>
  <c r="BP234" i="9"/>
  <c r="BY234" i="9" s="1"/>
  <c r="BV237" i="9"/>
  <c r="CB232" i="9"/>
  <c r="BZ233" i="9"/>
  <c r="V236" i="9"/>
  <c r="BM236" i="9"/>
  <c r="BS239" i="9"/>
  <c r="F233" i="9"/>
  <c r="B234" i="9"/>
  <c r="CA234" i="9" s="1"/>
  <c r="V237" i="9" l="1"/>
  <c r="BM237" i="9"/>
  <c r="BS240" i="9"/>
  <c r="Y235" i="9"/>
  <c r="BP235" i="9"/>
  <c r="BY235" i="9" s="1"/>
  <c r="BV238" i="9"/>
  <c r="E234" i="9"/>
  <c r="CB233" i="9" s="1"/>
  <c r="D234" i="9"/>
  <c r="BZ234" i="9" l="1"/>
  <c r="Y236" i="9"/>
  <c r="BP236" i="9"/>
  <c r="BY236" i="9" s="1"/>
  <c r="BV239" i="9"/>
  <c r="V238" i="9"/>
  <c r="BM238" i="9"/>
  <c r="BS241" i="9"/>
  <c r="F234" i="9"/>
  <c r="B235" i="9"/>
  <c r="CA235" i="9" s="1"/>
  <c r="AF238" i="9" l="1"/>
  <c r="AF239" i="9" s="1"/>
  <c r="AF240" i="9" s="1"/>
  <c r="AF241" i="9" s="1"/>
  <c r="AF242" i="9" s="1"/>
  <c r="AF243" i="9" s="1"/>
  <c r="AF244" i="9" s="1"/>
  <c r="AF245" i="9" s="1"/>
  <c r="AF246" i="9" s="1"/>
  <c r="AF247" i="9" s="1"/>
  <c r="AF248" i="9" s="1"/>
  <c r="AF249" i="9" s="1"/>
  <c r="AF250" i="9" s="1"/>
  <c r="AF251" i="9" s="1"/>
  <c r="AF252" i="9" s="1"/>
  <c r="AF253" i="9" s="1"/>
  <c r="AF254" i="9" s="1"/>
  <c r="AF255" i="9" s="1"/>
  <c r="AF256" i="9" s="1"/>
  <c r="AF257" i="9" s="1"/>
  <c r="AF258" i="9" s="1"/>
  <c r="AF259" i="9" s="1"/>
  <c r="AF260" i="9" s="1"/>
  <c r="AF261" i="9" s="1"/>
  <c r="AF262" i="9" s="1"/>
  <c r="AF263" i="9" s="1"/>
  <c r="AF264" i="9" s="1"/>
  <c r="AF265" i="9" s="1"/>
  <c r="AF266" i="9" s="1"/>
  <c r="AF267" i="9" s="1"/>
  <c r="AF268" i="9" s="1"/>
  <c r="AF269" i="9" s="1"/>
  <c r="AF270" i="9" s="1"/>
  <c r="AF271" i="9" s="1"/>
  <c r="AF272" i="9" s="1"/>
  <c r="AF273" i="9" s="1"/>
  <c r="AF274" i="9" s="1"/>
  <c r="AF275" i="9" s="1"/>
  <c r="AF276" i="9" s="1"/>
  <c r="AF277" i="9" s="1"/>
  <c r="AF278" i="9" s="1"/>
  <c r="AF279" i="9" s="1"/>
  <c r="AF280" i="9" s="1"/>
  <c r="AF281" i="9" s="1"/>
  <c r="AF282" i="9" s="1"/>
  <c r="AF283" i="9" s="1"/>
  <c r="AF284" i="9" s="1"/>
  <c r="AF285" i="9" s="1"/>
  <c r="AF286" i="9" s="1"/>
  <c r="AF287" i="9" s="1"/>
  <c r="AF288" i="9" s="1"/>
  <c r="AF289" i="9" s="1"/>
  <c r="AF290" i="9" s="1"/>
  <c r="AF291" i="9" s="1"/>
  <c r="AF292" i="9" s="1"/>
  <c r="AF293" i="9" s="1"/>
  <c r="AF294" i="9" s="1"/>
  <c r="AF295" i="9" s="1"/>
  <c r="AF296" i="9" s="1"/>
  <c r="AF297" i="9" s="1"/>
  <c r="AF298" i="9" s="1"/>
  <c r="AF299" i="9" s="1"/>
  <c r="AF300" i="9" s="1"/>
  <c r="AF301" i="9" s="1"/>
  <c r="AF302" i="9" s="1"/>
  <c r="AF303" i="9" s="1"/>
  <c r="AF304" i="9" s="1"/>
  <c r="AF305" i="9" s="1"/>
  <c r="AF306" i="9" s="1"/>
  <c r="AF307" i="9" s="1"/>
  <c r="AF308" i="9" s="1"/>
  <c r="AF309" i="9" s="1"/>
  <c r="AF310" i="9" s="1"/>
  <c r="AF311" i="9" s="1"/>
  <c r="AF312" i="9" s="1"/>
  <c r="AF313" i="9" s="1"/>
  <c r="AF314" i="9" s="1"/>
  <c r="AF315" i="9" s="1"/>
  <c r="AF316" i="9" s="1"/>
  <c r="AF317" i="9" s="1"/>
  <c r="AF318" i="9" s="1"/>
  <c r="AF319" i="9" s="1"/>
  <c r="AF320" i="9" s="1"/>
  <c r="AF321" i="9" s="1"/>
  <c r="BM239" i="9"/>
  <c r="BS242" i="9"/>
  <c r="V239" i="9"/>
  <c r="Y237" i="9"/>
  <c r="BP237" i="9"/>
  <c r="BY237" i="9" s="1"/>
  <c r="BV240" i="9"/>
  <c r="E235" i="9"/>
  <c r="D235" i="9"/>
  <c r="Y238" i="9" l="1"/>
  <c r="BP238" i="9"/>
  <c r="BY238" i="9" s="1"/>
  <c r="BV241" i="9"/>
  <c r="BZ235" i="9"/>
  <c r="CB234" i="9"/>
  <c r="V240" i="9"/>
  <c r="BM240" i="9"/>
  <c r="BS243" i="9"/>
  <c r="F235" i="9"/>
  <c r="B236" i="9"/>
  <c r="CA236" i="9" s="1"/>
  <c r="Y239" i="9" l="1"/>
  <c r="BP239" i="9"/>
  <c r="BV242" i="9"/>
  <c r="V241" i="9"/>
  <c r="BM241" i="9"/>
  <c r="BS244" i="9"/>
  <c r="E236" i="9"/>
  <c r="D236" i="9"/>
  <c r="BZ236" i="9" l="1"/>
  <c r="CB235" i="9"/>
  <c r="V242" i="9"/>
  <c r="BM242" i="9"/>
  <c r="BS245" i="9"/>
  <c r="Y240" i="9"/>
  <c r="BP240" i="9"/>
  <c r="BV243" i="9"/>
  <c r="B237" i="9"/>
  <c r="CA237" i="9" s="1"/>
  <c r="F236" i="9"/>
  <c r="V243" i="9" l="1"/>
  <c r="BM243" i="9"/>
  <c r="BS246" i="9"/>
  <c r="Y241" i="9"/>
  <c r="BP241" i="9"/>
  <c r="BV244" i="9"/>
  <c r="E237" i="9"/>
  <c r="BZ237" i="9" s="1"/>
  <c r="D237" i="9"/>
  <c r="Y242" i="9" l="1"/>
  <c r="BP242" i="9"/>
  <c r="BV245" i="9"/>
  <c r="CB236" i="9"/>
  <c r="V244" i="9"/>
  <c r="BM244" i="9"/>
  <c r="BS247" i="9"/>
  <c r="B238" i="9"/>
  <c r="CA238" i="9" s="1"/>
  <c r="F237" i="9"/>
  <c r="V245" i="9" l="1"/>
  <c r="BS248" i="9"/>
  <c r="BM245" i="9"/>
  <c r="Y243" i="9"/>
  <c r="BP243" i="9"/>
  <c r="BV246" i="9"/>
  <c r="E238" i="9"/>
  <c r="D238" i="9"/>
  <c r="X238" i="9"/>
  <c r="X239" i="9" l="1"/>
  <c r="BO239" i="9"/>
  <c r="BY239" i="9" s="1"/>
  <c r="BU242" i="9"/>
  <c r="Y244" i="9"/>
  <c r="BP244" i="9"/>
  <c r="BV247" i="9"/>
  <c r="BZ238" i="9"/>
  <c r="CB237" i="9"/>
  <c r="V246" i="9"/>
  <c r="BM246" i="9"/>
  <c r="BS249" i="9"/>
  <c r="B239" i="9"/>
  <c r="CA239" i="9" s="1"/>
  <c r="F238" i="9"/>
  <c r="Y245" i="9" l="1"/>
  <c r="BP245" i="9"/>
  <c r="BV248" i="9"/>
  <c r="BM247" i="9"/>
  <c r="BS250" i="9"/>
  <c r="V247" i="9"/>
  <c r="X240" i="9"/>
  <c r="BO240" i="9"/>
  <c r="BY240" i="9" s="1"/>
  <c r="BU243" i="9"/>
  <c r="E239" i="9"/>
  <c r="D239" i="9"/>
  <c r="BS251" i="9" l="1"/>
  <c r="BM248" i="9"/>
  <c r="CB238" i="9"/>
  <c r="X241" i="9"/>
  <c r="BO241" i="9"/>
  <c r="BY241" i="9" s="1"/>
  <c r="BU244" i="9"/>
  <c r="BZ239" i="9"/>
  <c r="Y246" i="9"/>
  <c r="BP246" i="9"/>
  <c r="BV249" i="9"/>
  <c r="B240" i="9"/>
  <c r="CA240" i="9" s="1"/>
  <c r="F239" i="9"/>
  <c r="Y247" i="9" l="1"/>
  <c r="BP247" i="9"/>
  <c r="BV250" i="9"/>
  <c r="X242" i="9"/>
  <c r="BU245" i="9"/>
  <c r="BO242" i="9"/>
  <c r="BY242" i="9" s="1"/>
  <c r="E240" i="9"/>
  <c r="D240" i="9"/>
  <c r="BZ240" i="9" l="1"/>
  <c r="CB239" i="9"/>
  <c r="X243" i="9"/>
  <c r="BO243" i="9"/>
  <c r="BY243" i="9" s="1"/>
  <c r="BU246" i="9"/>
  <c r="Y248" i="9"/>
  <c r="BP248" i="9"/>
  <c r="BV251" i="9"/>
  <c r="B241" i="9"/>
  <c r="CA241" i="9" s="1"/>
  <c r="F240" i="9"/>
  <c r="X244" i="9" l="1"/>
  <c r="BO244" i="9"/>
  <c r="BU247" i="9"/>
  <c r="Y249" i="9"/>
  <c r="BV252" i="9"/>
  <c r="BP249" i="9"/>
  <c r="D241" i="9"/>
  <c r="E241" i="9"/>
  <c r="Y250" i="9" l="1"/>
  <c r="BP250" i="9"/>
  <c r="BV253" i="9"/>
  <c r="BZ241" i="9"/>
  <c r="CB240" i="9"/>
  <c r="X245" i="9"/>
  <c r="BO245" i="9"/>
  <c r="BU248" i="9"/>
  <c r="B242" i="9"/>
  <c r="CA242" i="9" s="1"/>
  <c r="F241" i="9"/>
  <c r="X246" i="9" l="1"/>
  <c r="BO246" i="9"/>
  <c r="BU249" i="9"/>
  <c r="Y251" i="9"/>
  <c r="BP251" i="9"/>
  <c r="BV254" i="9"/>
  <c r="D242" i="9"/>
  <c r="E242" i="9"/>
  <c r="CB241" i="9" s="1"/>
  <c r="Y252" i="9" l="1"/>
  <c r="BP252" i="9"/>
  <c r="BV255" i="9"/>
  <c r="BZ242" i="9"/>
  <c r="X247" i="9"/>
  <c r="BO247" i="9"/>
  <c r="BU250" i="9"/>
  <c r="B243" i="9"/>
  <c r="CA243" i="9" s="1"/>
  <c r="F242" i="9"/>
  <c r="X248" i="9" l="1"/>
  <c r="BO248" i="9"/>
  <c r="BU251" i="9"/>
  <c r="Y253" i="9"/>
  <c r="BP253" i="9"/>
  <c r="BV256" i="9"/>
  <c r="W243" i="9"/>
  <c r="E243" i="9"/>
  <c r="CB242" i="9" s="1"/>
  <c r="D243" i="9"/>
  <c r="W244" i="9" l="1"/>
  <c r="BN244" i="9"/>
  <c r="BY244" i="9" s="1"/>
  <c r="BT247" i="9"/>
  <c r="BZ243" i="9"/>
  <c r="BV257" i="9"/>
  <c r="BP254" i="9"/>
  <c r="X249" i="9"/>
  <c r="BO249" i="9"/>
  <c r="BU252" i="9"/>
  <c r="B244" i="9"/>
  <c r="CA244" i="9" s="1"/>
  <c r="F243" i="9"/>
  <c r="X250" i="9" l="1"/>
  <c r="BU253" i="9"/>
  <c r="BO250" i="9"/>
  <c r="W245" i="9"/>
  <c r="BN245" i="9"/>
  <c r="BY245" i="9" s="1"/>
  <c r="BT248" i="9"/>
  <c r="E244" i="9"/>
  <c r="BZ244" i="9" s="1"/>
  <c r="D244" i="9"/>
  <c r="CB243" i="9" l="1"/>
  <c r="W246" i="9"/>
  <c r="BN246" i="9"/>
  <c r="BY246" i="9" s="1"/>
  <c r="BT249" i="9"/>
  <c r="X251" i="9"/>
  <c r="BO251" i="9"/>
  <c r="BU254" i="9"/>
  <c r="B245" i="9"/>
  <c r="CA245" i="9" s="1"/>
  <c r="F244" i="9"/>
  <c r="W247" i="9" l="1"/>
  <c r="BN247" i="9"/>
  <c r="BY247" i="9" s="1"/>
  <c r="BT250" i="9"/>
  <c r="X252" i="9"/>
  <c r="BO252" i="9"/>
  <c r="BU255" i="9"/>
  <c r="E245" i="9"/>
  <c r="D245" i="9"/>
  <c r="X253" i="9" l="1"/>
  <c r="BO253" i="9"/>
  <c r="BU256" i="9"/>
  <c r="BZ245" i="9"/>
  <c r="CB244" i="9"/>
  <c r="W248" i="9"/>
  <c r="BN248" i="9"/>
  <c r="BY248" i="9" s="1"/>
  <c r="BT251" i="9"/>
  <c r="B246" i="9"/>
  <c r="CA246" i="9" s="1"/>
  <c r="F245" i="9"/>
  <c r="W249" i="9" l="1"/>
  <c r="BN249" i="9"/>
  <c r="BT252" i="9"/>
  <c r="X254" i="9"/>
  <c r="BO254" i="9"/>
  <c r="BU257" i="9"/>
  <c r="D246" i="9"/>
  <c r="E246" i="9"/>
  <c r="CB245" i="9" l="1"/>
  <c r="X255" i="9"/>
  <c r="BU258" i="9"/>
  <c r="BO255" i="9"/>
  <c r="W250" i="9"/>
  <c r="BN250" i="9"/>
  <c r="BT253" i="9"/>
  <c r="BZ246" i="9"/>
  <c r="F246" i="9"/>
  <c r="B247" i="9"/>
  <c r="CA247" i="9" s="1"/>
  <c r="X256" i="9" l="1"/>
  <c r="BO256" i="9"/>
  <c r="BU259" i="9"/>
  <c r="W251" i="9"/>
  <c r="BN251" i="9"/>
  <c r="BT254" i="9"/>
  <c r="D247" i="9"/>
  <c r="E247" i="9"/>
  <c r="BZ247" i="9" l="1"/>
  <c r="CB246" i="9"/>
  <c r="W252" i="9"/>
  <c r="BT255" i="9"/>
  <c r="BN252" i="9"/>
  <c r="X257" i="9"/>
  <c r="BO257" i="9"/>
  <c r="BU260" i="9"/>
  <c r="F247" i="9"/>
  <c r="B248" i="9"/>
  <c r="CA248" i="9" s="1"/>
  <c r="W253" i="9" l="1"/>
  <c r="BN253" i="9"/>
  <c r="BT256" i="9"/>
  <c r="X258" i="9"/>
  <c r="BO258" i="9"/>
  <c r="BU261" i="9"/>
  <c r="V248" i="9"/>
  <c r="D248" i="9"/>
  <c r="E248" i="9"/>
  <c r="CB247" i="9" s="1"/>
  <c r="BU262" i="9" l="1"/>
  <c r="BO259" i="9"/>
  <c r="V249" i="9"/>
  <c r="BM249" i="9"/>
  <c r="BY249" i="9" s="1"/>
  <c r="BS252" i="9"/>
  <c r="BZ248" i="9"/>
  <c r="W254" i="9"/>
  <c r="BN254" i="9"/>
  <c r="BT257" i="9"/>
  <c r="V260" i="9"/>
  <c r="AE259" i="9"/>
  <c r="AE260" i="9" s="1"/>
  <c r="AE261" i="9" s="1"/>
  <c r="AE262" i="9" s="1"/>
  <c r="AE263" i="9" s="1"/>
  <c r="AE264" i="9" s="1"/>
  <c r="AE265" i="9" s="1"/>
  <c r="AE266" i="9" s="1"/>
  <c r="AE267" i="9" s="1"/>
  <c r="AE268" i="9" s="1"/>
  <c r="AE269" i="9" s="1"/>
  <c r="AE270" i="9" s="1"/>
  <c r="AE271" i="9" s="1"/>
  <c r="AE272" i="9" s="1"/>
  <c r="AE273" i="9" s="1"/>
  <c r="AE274" i="9" s="1"/>
  <c r="AE275" i="9" s="1"/>
  <c r="AE276" i="9" s="1"/>
  <c r="AE277" i="9" s="1"/>
  <c r="AE278" i="9" s="1"/>
  <c r="AE279" i="9" s="1"/>
  <c r="AE280" i="9" s="1"/>
  <c r="AE281" i="9" s="1"/>
  <c r="AE282" i="9" s="1"/>
  <c r="AE283" i="9" s="1"/>
  <c r="AE284" i="9" s="1"/>
  <c r="AE285" i="9" s="1"/>
  <c r="AE286" i="9" s="1"/>
  <c r="AE287" i="9" s="1"/>
  <c r="AE288" i="9" s="1"/>
  <c r="AE289" i="9" s="1"/>
  <c r="AE290" i="9" s="1"/>
  <c r="AE291" i="9" s="1"/>
  <c r="AE292" i="9" s="1"/>
  <c r="AE293" i="9" s="1"/>
  <c r="AE294" i="9" s="1"/>
  <c r="AE295" i="9" s="1"/>
  <c r="AE296" i="9" s="1"/>
  <c r="AE297" i="9" s="1"/>
  <c r="AE298" i="9" s="1"/>
  <c r="AE299" i="9" s="1"/>
  <c r="AE300" i="9" s="1"/>
  <c r="AE301" i="9" s="1"/>
  <c r="AE302" i="9" s="1"/>
  <c r="AE303" i="9" s="1"/>
  <c r="AE304" i="9" s="1"/>
  <c r="AE305" i="9" s="1"/>
  <c r="AE306" i="9" s="1"/>
  <c r="AE307" i="9" s="1"/>
  <c r="AE308" i="9" s="1"/>
  <c r="AE309" i="9" s="1"/>
  <c r="AE310" i="9" s="1"/>
  <c r="AE311" i="9" s="1"/>
  <c r="AE312" i="9" s="1"/>
  <c r="AE313" i="9" s="1"/>
  <c r="AE314" i="9" s="1"/>
  <c r="AE315" i="9" s="1"/>
  <c r="AE316" i="9" s="1"/>
  <c r="AE317" i="9" s="1"/>
  <c r="AE318" i="9" s="1"/>
  <c r="F248" i="9"/>
  <c r="B249" i="9"/>
  <c r="CA249" i="9" s="1"/>
  <c r="W255" i="9" l="1"/>
  <c r="BN255" i="9"/>
  <c r="BT258" i="9"/>
  <c r="V250" i="9"/>
  <c r="BM250" i="9"/>
  <c r="BY250" i="9" s="1"/>
  <c r="BS253" i="9"/>
  <c r="V261" i="9"/>
  <c r="BS264" i="9"/>
  <c r="BM261" i="9"/>
  <c r="AE319" i="9"/>
  <c r="AE320" i="9" s="1"/>
  <c r="AE321" i="9" s="1"/>
  <c r="AE322" i="9" s="1"/>
  <c r="AE323" i="9" s="1"/>
  <c r="AE324" i="9" s="1"/>
  <c r="AE325" i="9" s="1"/>
  <c r="AE326" i="9" s="1"/>
  <c r="AE327" i="9" s="1"/>
  <c r="AE328" i="9" s="1"/>
  <c r="AE329" i="9" s="1"/>
  <c r="AE330" i="9" s="1"/>
  <c r="AE331" i="9" s="1"/>
  <c r="AE332" i="9" s="1"/>
  <c r="AE333" i="9" s="1"/>
  <c r="AE334" i="9" s="1"/>
  <c r="AE335" i="9" s="1"/>
  <c r="AE336" i="9" s="1"/>
  <c r="AE337" i="9" s="1"/>
  <c r="AE338" i="9" s="1"/>
  <c r="AE339" i="9" s="1"/>
  <c r="AE340" i="9" s="1"/>
  <c r="AE341" i="9" s="1"/>
  <c r="AE342" i="9" s="1"/>
  <c r="D249" i="9"/>
  <c r="E249" i="9"/>
  <c r="BZ249" i="9" l="1"/>
  <c r="CB248" i="9"/>
  <c r="V251" i="9"/>
  <c r="BM251" i="9"/>
  <c r="BY251" i="9" s="1"/>
  <c r="BS254" i="9"/>
  <c r="W256" i="9"/>
  <c r="BN256" i="9"/>
  <c r="BT259" i="9"/>
  <c r="V262" i="9"/>
  <c r="BS265" i="9"/>
  <c r="BM262" i="9"/>
  <c r="F249" i="9"/>
  <c r="B250" i="9"/>
  <c r="CA250" i="9" s="1"/>
  <c r="V252" i="9" l="1"/>
  <c r="BM252" i="9"/>
  <c r="BY252" i="9" s="1"/>
  <c r="BS255" i="9"/>
  <c r="W257" i="9"/>
  <c r="BT260" i="9"/>
  <c r="BN257" i="9"/>
  <c r="V263" i="9"/>
  <c r="BM263" i="9"/>
  <c r="BS266" i="9"/>
  <c r="D250" i="9"/>
  <c r="E250" i="9"/>
  <c r="CB249" i="9" l="1"/>
  <c r="BZ250" i="9"/>
  <c r="W258" i="9"/>
  <c r="BN258" i="9"/>
  <c r="BT261" i="9"/>
  <c r="V253" i="9"/>
  <c r="BS256" i="9"/>
  <c r="BM253" i="9"/>
  <c r="BY253" i="9" s="1"/>
  <c r="V264" i="9"/>
  <c r="BM264" i="9"/>
  <c r="BS267" i="9"/>
  <c r="F250" i="9"/>
  <c r="B251" i="9"/>
  <c r="CA251" i="9" s="1"/>
  <c r="V254" i="9" l="1"/>
  <c r="BM254" i="9"/>
  <c r="BY254" i="9" s="1"/>
  <c r="BS257" i="9"/>
  <c r="W259" i="9"/>
  <c r="BT262" i="9"/>
  <c r="BN259" i="9"/>
  <c r="V265" i="9"/>
  <c r="BS268" i="9"/>
  <c r="BM265" i="9"/>
  <c r="E251" i="9"/>
  <c r="CB250" i="9" s="1"/>
  <c r="D251" i="9"/>
  <c r="V255" i="9" l="1"/>
  <c r="BM255" i="9"/>
  <c r="BS258" i="9"/>
  <c r="AC254" i="9"/>
  <c r="AC255" i="9" s="1"/>
  <c r="AC256" i="9" s="1"/>
  <c r="AC257" i="9" s="1"/>
  <c r="AC258" i="9" s="1"/>
  <c r="AC259" i="9" s="1"/>
  <c r="AC260" i="9" s="1"/>
  <c r="AC261" i="9" s="1"/>
  <c r="AC262" i="9" s="1"/>
  <c r="AC263" i="9" s="1"/>
  <c r="AC264" i="9" s="1"/>
  <c r="AC265" i="9" s="1"/>
  <c r="AC266" i="9" s="1"/>
  <c r="AC267" i="9" s="1"/>
  <c r="AC268" i="9" s="1"/>
  <c r="AC269" i="9" s="1"/>
  <c r="AC270" i="9" s="1"/>
  <c r="AC271" i="9" s="1"/>
  <c r="AC272" i="9" s="1"/>
  <c r="AC273" i="9" s="1"/>
  <c r="AC274" i="9" s="1"/>
  <c r="AC275" i="9" s="1"/>
  <c r="AC276" i="9" s="1"/>
  <c r="AC277" i="9" s="1"/>
  <c r="AC278" i="9" s="1"/>
  <c r="AC279" i="9" s="1"/>
  <c r="W260" i="9"/>
  <c r="BN260" i="9"/>
  <c r="BT263" i="9"/>
  <c r="BZ251" i="9"/>
  <c r="V266" i="9"/>
  <c r="BS269" i="9"/>
  <c r="BM266" i="9"/>
  <c r="B252" i="9"/>
  <c r="CA252" i="9" s="1"/>
  <c r="F251" i="9"/>
  <c r="BN261" i="9" l="1"/>
  <c r="W261" i="9"/>
  <c r="BT264" i="9"/>
  <c r="AD260" i="9"/>
  <c r="AD261" i="9" s="1"/>
  <c r="AD262" i="9" s="1"/>
  <c r="AD263" i="9" s="1"/>
  <c r="AD264" i="9" s="1"/>
  <c r="AD265" i="9" s="1"/>
  <c r="AD266" i="9" s="1"/>
  <c r="AD267" i="9" s="1"/>
  <c r="AD268" i="9" s="1"/>
  <c r="AD269" i="9" s="1"/>
  <c r="AD270" i="9" s="1"/>
  <c r="AD271" i="9" s="1"/>
  <c r="AD272" i="9" s="1"/>
  <c r="AD273" i="9" s="1"/>
  <c r="AD274" i="9" s="1"/>
  <c r="AD275" i="9" s="1"/>
  <c r="AD276" i="9" s="1"/>
  <c r="AD277" i="9" s="1"/>
  <c r="AD278" i="9" s="1"/>
  <c r="AD279" i="9" s="1"/>
  <c r="AD280" i="9" s="1"/>
  <c r="AD281" i="9" s="1"/>
  <c r="AD282" i="9" s="1"/>
  <c r="AD283" i="9" s="1"/>
  <c r="AD284" i="9" s="1"/>
  <c r="AD285" i="9" s="1"/>
  <c r="AD286" i="9" s="1"/>
  <c r="AD287" i="9" s="1"/>
  <c r="AD288" i="9" s="1"/>
  <c r="AD289" i="9" s="1"/>
  <c r="AD290" i="9" s="1"/>
  <c r="AD291" i="9" s="1"/>
  <c r="AD292" i="9" s="1"/>
  <c r="AD293" i="9" s="1"/>
  <c r="AD294" i="9" s="1"/>
  <c r="AD295" i="9" s="1"/>
  <c r="AD296" i="9" s="1"/>
  <c r="AD297" i="9" s="1"/>
  <c r="AD298" i="9" s="1"/>
  <c r="AD299" i="9" s="1"/>
  <c r="AD300" i="9" s="1"/>
  <c r="V256" i="9"/>
  <c r="BM256" i="9"/>
  <c r="BS259" i="9"/>
  <c r="V267" i="9"/>
  <c r="BM267" i="9"/>
  <c r="BS270" i="9"/>
  <c r="E252" i="9"/>
  <c r="CB251" i="9" s="1"/>
  <c r="D252" i="9"/>
  <c r="V257" i="9" l="1"/>
  <c r="BM257" i="9"/>
  <c r="BS260" i="9"/>
  <c r="BN262" i="9"/>
  <c r="BT265" i="9"/>
  <c r="W262" i="9"/>
  <c r="BZ252" i="9"/>
  <c r="V268" i="9"/>
  <c r="BM268" i="9"/>
  <c r="BS271" i="9"/>
  <c r="B253" i="9"/>
  <c r="CA253" i="9" s="1"/>
  <c r="F252" i="9"/>
  <c r="W263" i="9" l="1"/>
  <c r="BN263" i="9"/>
  <c r="BT266" i="9"/>
  <c r="V258" i="9"/>
  <c r="BS261" i="9"/>
  <c r="BM258" i="9"/>
  <c r="BS272" i="9"/>
  <c r="BM269" i="9"/>
  <c r="E253" i="9"/>
  <c r="D253" i="9"/>
  <c r="CB252" i="9" l="1"/>
  <c r="BM259" i="9"/>
  <c r="BS262" i="9"/>
  <c r="BZ253" i="9"/>
  <c r="BT267" i="9"/>
  <c r="BN264" i="9"/>
  <c r="B254" i="9"/>
  <c r="CA254" i="9" s="1"/>
  <c r="F253" i="9"/>
  <c r="E254" i="9" l="1"/>
  <c r="Y254" i="9"/>
  <c r="D254" i="9"/>
  <c r="Y255" i="9" l="1"/>
  <c r="BP255" i="9"/>
  <c r="BY255" i="9" s="1"/>
  <c r="BV258" i="9"/>
  <c r="CB253" i="9"/>
  <c r="BZ254" i="9"/>
  <c r="B255" i="9"/>
  <c r="CA255" i="9" s="1"/>
  <c r="F254" i="9"/>
  <c r="Y256" i="9" l="1"/>
  <c r="BP256" i="9"/>
  <c r="BY256" i="9" s="1"/>
  <c r="BV259" i="9"/>
  <c r="E255" i="9"/>
  <c r="D255" i="9"/>
  <c r="CB254" i="9" l="1"/>
  <c r="Y257" i="9"/>
  <c r="BP257" i="9"/>
  <c r="BY257" i="9" s="1"/>
  <c r="BV260" i="9"/>
  <c r="BZ255" i="9"/>
  <c r="B256" i="9"/>
  <c r="CA256" i="9" s="1"/>
  <c r="F255" i="9"/>
  <c r="Y258" i="9" l="1"/>
  <c r="BV261" i="9"/>
  <c r="BP258" i="9"/>
  <c r="BY258" i="9" s="1"/>
  <c r="E256" i="9"/>
  <c r="D256" i="9"/>
  <c r="BZ256" i="9" l="1"/>
  <c r="CB255" i="9"/>
  <c r="Y259" i="9"/>
  <c r="BV262" i="9"/>
  <c r="BP259" i="9"/>
  <c r="BY259" i="9" s="1"/>
  <c r="B257" i="9"/>
  <c r="CA257" i="9" s="1"/>
  <c r="F256" i="9"/>
  <c r="Y260" i="9" l="1"/>
  <c r="BP260" i="9"/>
  <c r="BV263" i="9"/>
  <c r="E257" i="9"/>
  <c r="D257" i="9"/>
  <c r="BZ257" i="9" l="1"/>
  <c r="CB256" i="9"/>
  <c r="BV264" i="9"/>
  <c r="Y261" i="9"/>
  <c r="BP261" i="9"/>
  <c r="F257" i="9"/>
  <c r="B258" i="9"/>
  <c r="CA258" i="9" s="1"/>
  <c r="Y262" i="9" l="1"/>
  <c r="BP262" i="9"/>
  <c r="BV265" i="9"/>
  <c r="D258" i="9"/>
  <c r="E258" i="9"/>
  <c r="BV266" i="9" l="1"/>
  <c r="Y263" i="9"/>
  <c r="BP263" i="9"/>
  <c r="CB257" i="9"/>
  <c r="BZ258" i="9"/>
  <c r="F258" i="9"/>
  <c r="B259" i="9"/>
  <c r="V259" i="9" l="1"/>
  <c r="BM260" i="9" s="1"/>
  <c r="CA259" i="9"/>
  <c r="Y264" i="9"/>
  <c r="BP264" i="9"/>
  <c r="BV267" i="9"/>
  <c r="D259" i="9"/>
  <c r="X259" i="9"/>
  <c r="E259" i="9"/>
  <c r="BS263" i="9" l="1"/>
  <c r="CB258" i="9"/>
  <c r="X260" i="9"/>
  <c r="BU264" i="9" s="1"/>
  <c r="BU263" i="9"/>
  <c r="BO260" i="9"/>
  <c r="BY260" i="9" s="1"/>
  <c r="Y265" i="9"/>
  <c r="BV268" i="9"/>
  <c r="BP265" i="9"/>
  <c r="BZ259" i="9"/>
  <c r="F259" i="9"/>
  <c r="B260" i="9"/>
  <c r="CA260" i="9" s="1"/>
  <c r="X261" i="9" l="1"/>
  <c r="X262" i="9" s="1"/>
  <c r="BO261" i="9"/>
  <c r="BY261" i="9" s="1"/>
  <c r="Y266" i="9"/>
  <c r="BV269" i="9"/>
  <c r="BP266" i="9"/>
  <c r="D260" i="9"/>
  <c r="E260" i="9"/>
  <c r="BU265" i="9" l="1"/>
  <c r="BO262" i="9"/>
  <c r="BY262" i="9" s="1"/>
  <c r="BZ260" i="9"/>
  <c r="CB259" i="9"/>
  <c r="BV270" i="9"/>
  <c r="Y267" i="9"/>
  <c r="BP267" i="9"/>
  <c r="X263" i="9"/>
  <c r="BO263" i="9"/>
  <c r="BY263" i="9" s="1"/>
  <c r="BU266" i="9"/>
  <c r="F260" i="9"/>
  <c r="B261" i="9"/>
  <c r="CA261" i="9" s="1"/>
  <c r="Y268" i="9" l="1"/>
  <c r="BP268" i="9"/>
  <c r="BV271" i="9"/>
  <c r="X264" i="9"/>
  <c r="BO264" i="9"/>
  <c r="BY264" i="9" s="1"/>
  <c r="BU267" i="9"/>
  <c r="D261" i="9"/>
  <c r="E261" i="9"/>
  <c r="BV272" i="9" l="1"/>
  <c r="Y269" i="9"/>
  <c r="BP269" i="9"/>
  <c r="CB260" i="9"/>
  <c r="BZ261" i="9"/>
  <c r="X265" i="9"/>
  <c r="BO265" i="9"/>
  <c r="BU268" i="9"/>
  <c r="F261" i="9"/>
  <c r="B262" i="9"/>
  <c r="CA262" i="9" s="1"/>
  <c r="BP270" i="9" l="1"/>
  <c r="Y270" i="9"/>
  <c r="BV273" i="9"/>
  <c r="X266" i="9"/>
  <c r="BO266" i="9"/>
  <c r="BU269" i="9"/>
  <c r="D262" i="9"/>
  <c r="E262" i="9"/>
  <c r="BP271" i="9" l="1"/>
  <c r="BV274" i="9"/>
  <c r="Y271" i="9"/>
  <c r="BZ262" i="9"/>
  <c r="CB261" i="9"/>
  <c r="X267" i="9"/>
  <c r="BO267" i="9"/>
  <c r="BU270" i="9"/>
  <c r="B263" i="9"/>
  <c r="CA263" i="9" s="1"/>
  <c r="F262" i="9"/>
  <c r="BP272" i="9" l="1"/>
  <c r="Y272" i="9"/>
  <c r="BV275" i="9"/>
  <c r="X268" i="9"/>
  <c r="BO268" i="9"/>
  <c r="BU271" i="9"/>
  <c r="E263" i="9"/>
  <c r="D263" i="9"/>
  <c r="Y273" i="9" l="1"/>
  <c r="BP273" i="9"/>
  <c r="BV276" i="9"/>
  <c r="BZ263" i="9"/>
  <c r="CB262" i="9"/>
  <c r="X269" i="9"/>
  <c r="BO269" i="9"/>
  <c r="BU272" i="9"/>
  <c r="B264" i="9"/>
  <c r="CA264" i="9" s="1"/>
  <c r="F263" i="9"/>
  <c r="BV277" i="9" l="1"/>
  <c r="BP274" i="9"/>
  <c r="Y274" i="9"/>
  <c r="X270" i="9"/>
  <c r="BO270" i="9"/>
  <c r="BU273" i="9"/>
  <c r="W264" i="9"/>
  <c r="E264" i="9"/>
  <c r="D264" i="9"/>
  <c r="BP275" i="9" l="1"/>
  <c r="BV278" i="9"/>
  <c r="W265" i="9"/>
  <c r="BT268" i="9"/>
  <c r="BN265" i="9"/>
  <c r="BY265" i="9" s="1"/>
  <c r="BZ264" i="9"/>
  <c r="CB263" i="9"/>
  <c r="X271" i="9"/>
  <c r="BO271" i="9"/>
  <c r="BU274" i="9"/>
  <c r="B265" i="9"/>
  <c r="CA265" i="9" s="1"/>
  <c r="F264" i="9"/>
  <c r="X272" i="9" l="1"/>
  <c r="BO272" i="9"/>
  <c r="BU275" i="9"/>
  <c r="W266" i="9"/>
  <c r="BN266" i="9"/>
  <c r="BY266" i="9" s="1"/>
  <c r="BT269" i="9"/>
  <c r="E265" i="9"/>
  <c r="BZ265" i="9" s="1"/>
  <c r="D265" i="9"/>
  <c r="X273" i="9" l="1"/>
  <c r="BO273" i="9"/>
  <c r="BU276" i="9"/>
  <c r="W267" i="9"/>
  <c r="BN267" i="9"/>
  <c r="BY267" i="9" s="1"/>
  <c r="BT270" i="9"/>
  <c r="CB264" i="9"/>
  <c r="B266" i="9"/>
  <c r="CA266" i="9" s="1"/>
  <c r="F265" i="9"/>
  <c r="W268" i="9" l="1"/>
  <c r="BT271" i="9"/>
  <c r="BN268" i="9"/>
  <c r="BY268" i="9" s="1"/>
  <c r="X274" i="9"/>
  <c r="BO274" i="9"/>
  <c r="BU277" i="9"/>
  <c r="E266" i="9"/>
  <c r="D266" i="9"/>
  <c r="X275" i="9" l="1"/>
  <c r="BO275" i="9"/>
  <c r="BU278" i="9"/>
  <c r="CB265" i="9"/>
  <c r="BZ266" i="9"/>
  <c r="W269" i="9"/>
  <c r="BN269" i="9"/>
  <c r="BY269" i="9" s="1"/>
  <c r="BT272" i="9"/>
  <c r="B267" i="9"/>
  <c r="CA267" i="9" s="1"/>
  <c r="F266" i="9"/>
  <c r="W270" i="9" l="1"/>
  <c r="BN270" i="9"/>
  <c r="BT273" i="9"/>
  <c r="X276" i="9"/>
  <c r="BO276" i="9"/>
  <c r="BU279" i="9"/>
  <c r="E267" i="9"/>
  <c r="D267" i="9"/>
  <c r="X277" i="9" l="1"/>
  <c r="BO277" i="9"/>
  <c r="BU280" i="9"/>
  <c r="BZ267" i="9"/>
  <c r="CB266" i="9"/>
  <c r="W271" i="9"/>
  <c r="BN271" i="9"/>
  <c r="BT274" i="9"/>
  <c r="F267" i="9"/>
  <c r="B268" i="9"/>
  <c r="CA268" i="9" s="1"/>
  <c r="W272" i="9" l="1"/>
  <c r="BT275" i="9"/>
  <c r="BN272" i="9"/>
  <c r="X278" i="9"/>
  <c r="BO278" i="9"/>
  <c r="BU281" i="9"/>
  <c r="E268" i="9"/>
  <c r="D268" i="9"/>
  <c r="X279" i="9" l="1"/>
  <c r="BU282" i="9"/>
  <c r="BO279" i="9"/>
  <c r="BZ268" i="9"/>
  <c r="CB267" i="9"/>
  <c r="W273" i="9"/>
  <c r="BN273" i="9"/>
  <c r="BT276" i="9"/>
  <c r="F268" i="9"/>
  <c r="B269" i="9"/>
  <c r="CA269" i="9" s="1"/>
  <c r="W274" i="9" l="1"/>
  <c r="BN274" i="9"/>
  <c r="BT277" i="9"/>
  <c r="BO280" i="9"/>
  <c r="BU283" i="9"/>
  <c r="V269" i="9"/>
  <c r="E269" i="9"/>
  <c r="CB268" i="9" s="1"/>
  <c r="D269" i="9"/>
  <c r="BZ269" i="9" l="1"/>
  <c r="V270" i="9"/>
  <c r="BS273" i="9"/>
  <c r="BM270" i="9"/>
  <c r="BY270" i="9" s="1"/>
  <c r="W275" i="9"/>
  <c r="BN275" i="9"/>
  <c r="BT278" i="9"/>
  <c r="F269" i="9"/>
  <c r="B270" i="9"/>
  <c r="CA270" i="9" s="1"/>
  <c r="W276" i="9" l="1"/>
  <c r="BT279" i="9"/>
  <c r="BN276" i="9"/>
  <c r="V271" i="9"/>
  <c r="BM271" i="9"/>
  <c r="BY271" i="9" s="1"/>
  <c r="BS274" i="9"/>
  <c r="AC280" i="9"/>
  <c r="AC281" i="9" s="1"/>
  <c r="AC282" i="9" s="1"/>
  <c r="AC283" i="9" s="1"/>
  <c r="AC284" i="9" s="1"/>
  <c r="AC285" i="9" s="1"/>
  <c r="AC286" i="9" s="1"/>
  <c r="AC287" i="9" s="1"/>
  <c r="AC288" i="9" s="1"/>
  <c r="AC289" i="9" s="1"/>
  <c r="AC290" i="9" s="1"/>
  <c r="AC291" i="9" s="1"/>
  <c r="AC292" i="9" s="1"/>
  <c r="AC293" i="9" s="1"/>
  <c r="AC294" i="9" s="1"/>
  <c r="AC295" i="9" s="1"/>
  <c r="AC296" i="9" s="1"/>
  <c r="AC297" i="9" s="1"/>
  <c r="AC298" i="9" s="1"/>
  <c r="AC299" i="9" s="1"/>
  <c r="AC300" i="9" s="1"/>
  <c r="AC301" i="9" s="1"/>
  <c r="AC302" i="9" s="1"/>
  <c r="AC303" i="9" s="1"/>
  <c r="AC304" i="9" s="1"/>
  <c r="AC305" i="9" s="1"/>
  <c r="AC306" i="9" s="1"/>
  <c r="AC307" i="9" s="1"/>
  <c r="AC308" i="9" s="1"/>
  <c r="AC309" i="9" s="1"/>
  <c r="AC310" i="9" s="1"/>
  <c r="AC311" i="9" s="1"/>
  <c r="AC312" i="9" s="1"/>
  <c r="AC313" i="9" s="1"/>
  <c r="AC314" i="9" s="1"/>
  <c r="AC315" i="9" s="1"/>
  <c r="AC316" i="9" s="1"/>
  <c r="AC317" i="9" s="1"/>
  <c r="AC318" i="9" s="1"/>
  <c r="AC319" i="9" s="1"/>
  <c r="AC320" i="9" s="1"/>
  <c r="AC321" i="9" s="1"/>
  <c r="AC322" i="9" s="1"/>
  <c r="AC323" i="9" s="1"/>
  <c r="AC324" i="9" s="1"/>
  <c r="AC325" i="9" s="1"/>
  <c r="AC326" i="9" s="1"/>
  <c r="AC327" i="9" s="1"/>
  <c r="AC328" i="9" s="1"/>
  <c r="AC329" i="9" s="1"/>
  <c r="AC330" i="9" s="1"/>
  <c r="AC331" i="9" s="1"/>
  <c r="AC332" i="9" s="1"/>
  <c r="AC333" i="9" s="1"/>
  <c r="AC334" i="9" s="1"/>
  <c r="AC335" i="9" s="1"/>
  <c r="AC336" i="9" s="1"/>
  <c r="AC337" i="9" s="1"/>
  <c r="AC338" i="9" s="1"/>
  <c r="AC339" i="9" s="1"/>
  <c r="AC340" i="9" s="1"/>
  <c r="AC341" i="9" s="1"/>
  <c r="AC342" i="9" s="1"/>
  <c r="AC343" i="9" s="1"/>
  <c r="AC344" i="9" s="1"/>
  <c r="AC345" i="9" s="1"/>
  <c r="AC346" i="9" s="1"/>
  <c r="AC347" i="9" s="1"/>
  <c r="AC348" i="9" s="1"/>
  <c r="AC349" i="9" s="1"/>
  <c r="AC350" i="9" s="1"/>
  <c r="AC351" i="9" s="1"/>
  <c r="AC352" i="9" s="1"/>
  <c r="AC353" i="9" s="1"/>
  <c r="AC354" i="9" s="1"/>
  <c r="AC355" i="9" s="1"/>
  <c r="AC356" i="9" s="1"/>
  <c r="AC357" i="9" s="1"/>
  <c r="AC358" i="9" s="1"/>
  <c r="AC359" i="9" s="1"/>
  <c r="AC360" i="9" s="1"/>
  <c r="AC361" i="9" s="1"/>
  <c r="AC362" i="9" s="1"/>
  <c r="E270" i="9"/>
  <c r="CB269" i="9" s="1"/>
  <c r="D270" i="9"/>
  <c r="W277" i="9" l="1"/>
  <c r="BN277" i="9"/>
  <c r="BT280" i="9"/>
  <c r="V272" i="9"/>
  <c r="BM272" i="9"/>
  <c r="BY272" i="9" s="1"/>
  <c r="BS275" i="9"/>
  <c r="BZ270" i="9"/>
  <c r="F270" i="9"/>
  <c r="B271" i="9"/>
  <c r="CA271" i="9" s="1"/>
  <c r="W278" i="9" l="1"/>
  <c r="BN278" i="9"/>
  <c r="BT281" i="9"/>
  <c r="V273" i="9"/>
  <c r="BS276" i="9"/>
  <c r="BM273" i="9"/>
  <c r="BY273" i="9" s="1"/>
  <c r="E271" i="9"/>
  <c r="D271" i="9"/>
  <c r="V274" i="9" l="1"/>
  <c r="BS277" i="9"/>
  <c r="BM274" i="9"/>
  <c r="BY274" i="9" s="1"/>
  <c r="BZ271" i="9"/>
  <c r="CB270" i="9"/>
  <c r="W279" i="9"/>
  <c r="BN279" i="9"/>
  <c r="BT282" i="9"/>
  <c r="F271" i="9"/>
  <c r="B272" i="9"/>
  <c r="CA272" i="9" s="1"/>
  <c r="W280" i="9" l="1"/>
  <c r="BT283" i="9"/>
  <c r="BN280" i="9"/>
  <c r="V275" i="9"/>
  <c r="BM275" i="9"/>
  <c r="BY275" i="9" s="1"/>
  <c r="BS278" i="9"/>
  <c r="E272" i="9"/>
  <c r="D272" i="9"/>
  <c r="BM276" i="9" l="1"/>
  <c r="BS279" i="9"/>
  <c r="V276" i="9"/>
  <c r="W281" i="9"/>
  <c r="BN281" i="9"/>
  <c r="BT284" i="9"/>
  <c r="BZ272" i="9"/>
  <c r="CB271" i="9"/>
  <c r="F272" i="9"/>
  <c r="B273" i="9"/>
  <c r="CA273" i="9" s="1"/>
  <c r="V277" i="9" l="1"/>
  <c r="BS280" i="9"/>
  <c r="BM277" i="9"/>
  <c r="W282" i="9"/>
  <c r="BN282" i="9"/>
  <c r="BT285" i="9"/>
  <c r="E273" i="9"/>
  <c r="CB272" i="9" s="1"/>
  <c r="D273" i="9"/>
  <c r="W283" i="9" l="1"/>
  <c r="BN283" i="9"/>
  <c r="BT286" i="9"/>
  <c r="BZ273" i="9"/>
  <c r="V278" i="9"/>
  <c r="BS281" i="9"/>
  <c r="BM278" i="9"/>
  <c r="B274" i="9"/>
  <c r="CA274" i="9" s="1"/>
  <c r="F273" i="9"/>
  <c r="V279" i="9" l="1"/>
  <c r="BM279" i="9"/>
  <c r="BS282" i="9"/>
  <c r="W284" i="9"/>
  <c r="BN284" i="9"/>
  <c r="BT287" i="9"/>
  <c r="E274" i="9"/>
  <c r="D274" i="9"/>
  <c r="BZ274" i="9" l="1"/>
  <c r="V280" i="9"/>
  <c r="BM280" i="9"/>
  <c r="BS283" i="9"/>
  <c r="BN285" i="9"/>
  <c r="BT288" i="9"/>
  <c r="CB273" i="9"/>
  <c r="B275" i="9"/>
  <c r="CA275" i="9" s="1"/>
  <c r="F274" i="9"/>
  <c r="BS284" i="9" l="1"/>
  <c r="BM281" i="9"/>
  <c r="V281" i="9"/>
  <c r="E275" i="9"/>
  <c r="Y275" i="9"/>
  <c r="D275" i="9"/>
  <c r="Y276" i="9" l="1"/>
  <c r="BP276" i="9"/>
  <c r="BY276" i="9" s="1"/>
  <c r="BV279" i="9"/>
  <c r="V282" i="9"/>
  <c r="BS285" i="9"/>
  <c r="BM282" i="9"/>
  <c r="BZ275" i="9"/>
  <c r="CB274" i="9"/>
  <c r="B276" i="9"/>
  <c r="CA276" i="9" s="1"/>
  <c r="F275" i="9"/>
  <c r="V283" i="9" l="1"/>
  <c r="BM283" i="9"/>
  <c r="BS286" i="9"/>
  <c r="Y277" i="9"/>
  <c r="BP277" i="9"/>
  <c r="BY277" i="9" s="1"/>
  <c r="BV280" i="9"/>
  <c r="E276" i="9"/>
  <c r="BZ276" i="9" s="1"/>
  <c r="D276" i="9"/>
  <c r="Y278" i="9" l="1"/>
  <c r="BV281" i="9"/>
  <c r="BP278" i="9"/>
  <c r="BY278" i="9" s="1"/>
  <c r="V284" i="9"/>
  <c r="BM284" i="9"/>
  <c r="BS287" i="9"/>
  <c r="CB275" i="9"/>
  <c r="B277" i="9"/>
  <c r="CA277" i="9" s="1"/>
  <c r="F276" i="9"/>
  <c r="Y279" i="9" l="1"/>
  <c r="BP279" i="9"/>
  <c r="BY279" i="9" s="1"/>
  <c r="BV282" i="9"/>
  <c r="V285" i="9"/>
  <c r="BM285" i="9"/>
  <c r="BS288" i="9"/>
  <c r="E277" i="9"/>
  <c r="D277" i="9"/>
  <c r="BZ277" i="9" l="1"/>
  <c r="CB276" i="9"/>
  <c r="V286" i="9"/>
  <c r="BM286" i="9"/>
  <c r="BS289" i="9"/>
  <c r="Y280" i="9"/>
  <c r="BP280" i="9"/>
  <c r="BY280" i="9" s="1"/>
  <c r="BV283" i="9"/>
  <c r="B278" i="9"/>
  <c r="CA278" i="9" s="1"/>
  <c r="F277" i="9"/>
  <c r="V287" i="9" l="1"/>
  <c r="BM287" i="9"/>
  <c r="BS290" i="9"/>
  <c r="Y281" i="9"/>
  <c r="BP281" i="9"/>
  <c r="BV284" i="9"/>
  <c r="E278" i="9"/>
  <c r="D278" i="9"/>
  <c r="BZ278" i="9" l="1"/>
  <c r="Y282" i="9"/>
  <c r="BV285" i="9"/>
  <c r="BP282" i="9"/>
  <c r="CB277" i="9"/>
  <c r="V288" i="9"/>
  <c r="BM288" i="9"/>
  <c r="BS291" i="9"/>
  <c r="B279" i="9"/>
  <c r="CA279" i="9" s="1"/>
  <c r="F278" i="9"/>
  <c r="V289" i="9" l="1"/>
  <c r="BM289" i="9"/>
  <c r="BS292" i="9"/>
  <c r="Y283" i="9"/>
  <c r="BP283" i="9"/>
  <c r="BV286" i="9"/>
  <c r="E279" i="9"/>
  <c r="D279" i="9"/>
  <c r="Y284" i="9" l="1"/>
  <c r="BP284" i="9"/>
  <c r="BV287" i="9"/>
  <c r="BZ279" i="9"/>
  <c r="CB278" i="9"/>
  <c r="BM290" i="9"/>
  <c r="BS293" i="9"/>
  <c r="B280" i="9"/>
  <c r="CA280" i="9" s="1"/>
  <c r="F279" i="9"/>
  <c r="Y285" i="9" l="1"/>
  <c r="BP285" i="9"/>
  <c r="BV288" i="9"/>
  <c r="D280" i="9"/>
  <c r="X280" i="9"/>
  <c r="E280" i="9"/>
  <c r="BZ280" i="9" l="1"/>
  <c r="CB279" i="9"/>
  <c r="X281" i="9"/>
  <c r="BO281" i="9"/>
  <c r="BY281" i="9" s="1"/>
  <c r="BU284" i="9"/>
  <c r="Y286" i="9"/>
  <c r="BP286" i="9"/>
  <c r="BV289" i="9"/>
  <c r="B281" i="9"/>
  <c r="CA281" i="9" s="1"/>
  <c r="F280" i="9"/>
  <c r="Y287" i="9" l="1"/>
  <c r="BP287" i="9"/>
  <c r="BV290" i="9"/>
  <c r="X282" i="9"/>
  <c r="BO282" i="9"/>
  <c r="BY282" i="9" s="1"/>
  <c r="BU285" i="9"/>
  <c r="D281" i="9"/>
  <c r="E281" i="9"/>
  <c r="CB280" i="9" s="1"/>
  <c r="BZ281" i="9" l="1"/>
  <c r="X283" i="9"/>
  <c r="BU286" i="9"/>
  <c r="BO283" i="9"/>
  <c r="BY283" i="9" s="1"/>
  <c r="Y288" i="9"/>
  <c r="BP288" i="9"/>
  <c r="BV291" i="9"/>
  <c r="B282" i="9"/>
  <c r="CA282" i="9" s="1"/>
  <c r="F281" i="9"/>
  <c r="X284" i="9" l="1"/>
  <c r="BO284" i="9"/>
  <c r="BY284" i="9" s="1"/>
  <c r="BU287" i="9"/>
  <c r="Y289" i="9"/>
  <c r="BV292" i="9"/>
  <c r="BP289" i="9"/>
  <c r="D282" i="9"/>
  <c r="E282" i="9"/>
  <c r="CB281" i="9" l="1"/>
  <c r="BZ282" i="9"/>
  <c r="Y290" i="9"/>
  <c r="BP290" i="9"/>
  <c r="BV293" i="9"/>
  <c r="X285" i="9"/>
  <c r="BO285" i="9"/>
  <c r="BY285" i="9" s="1"/>
  <c r="BU288" i="9"/>
  <c r="B283" i="9"/>
  <c r="CA283" i="9" s="1"/>
  <c r="F282" i="9"/>
  <c r="X286" i="9" l="1"/>
  <c r="BO286" i="9"/>
  <c r="BU289" i="9"/>
  <c r="Y291" i="9"/>
  <c r="BP291" i="9"/>
  <c r="BV294" i="9"/>
  <c r="D283" i="9"/>
  <c r="E283" i="9"/>
  <c r="BZ283" i="9" l="1"/>
  <c r="CB282" i="9"/>
  <c r="Y292" i="9"/>
  <c r="BV295" i="9"/>
  <c r="BP292" i="9"/>
  <c r="X287" i="9"/>
  <c r="BU290" i="9"/>
  <c r="BO287" i="9"/>
  <c r="B284" i="9"/>
  <c r="CA284" i="9" s="1"/>
  <c r="F283" i="9"/>
  <c r="X288" i="9" l="1"/>
  <c r="BO288" i="9"/>
  <c r="BU291" i="9"/>
  <c r="Y293" i="9"/>
  <c r="BV296" i="9"/>
  <c r="BP293" i="9"/>
  <c r="D284" i="9"/>
  <c r="E284" i="9"/>
  <c r="Y294" i="9" l="1"/>
  <c r="BP294" i="9"/>
  <c r="BV297" i="9"/>
  <c r="BZ284" i="9"/>
  <c r="CB283" i="9"/>
  <c r="X289" i="9"/>
  <c r="BO289" i="9"/>
  <c r="BU292" i="9"/>
  <c r="B285" i="9"/>
  <c r="CA285" i="9" s="1"/>
  <c r="F284" i="9"/>
  <c r="X290" i="9" l="1"/>
  <c r="BU293" i="9"/>
  <c r="BO290" i="9"/>
  <c r="Y295" i="9"/>
  <c r="BP295" i="9"/>
  <c r="BV298" i="9"/>
  <c r="W285" i="9"/>
  <c r="E285" i="9"/>
  <c r="BZ285" i="9" s="1"/>
  <c r="D285" i="9"/>
  <c r="W286" i="9" l="1"/>
  <c r="BN286" i="9"/>
  <c r="BY286" i="9" s="1"/>
  <c r="BT289" i="9"/>
  <c r="CB284" i="9"/>
  <c r="BV299" i="9"/>
  <c r="BP296" i="9"/>
  <c r="X291" i="9"/>
  <c r="BO291" i="9"/>
  <c r="BU294" i="9"/>
  <c r="B286" i="9"/>
  <c r="CA286" i="9" s="1"/>
  <c r="F285" i="9"/>
  <c r="W287" i="9" l="1"/>
  <c r="BN287" i="9"/>
  <c r="BY287" i="9" s="1"/>
  <c r="BT290" i="9"/>
  <c r="X292" i="9"/>
  <c r="BO292" i="9"/>
  <c r="BU295" i="9"/>
  <c r="E286" i="9"/>
  <c r="D286" i="9"/>
  <c r="X293" i="9" l="1"/>
  <c r="BO293" i="9"/>
  <c r="BU296" i="9"/>
  <c r="BZ286" i="9"/>
  <c r="CB285" i="9"/>
  <c r="W288" i="9"/>
  <c r="BN288" i="9"/>
  <c r="BY288" i="9" s="1"/>
  <c r="BT291" i="9"/>
  <c r="B287" i="9"/>
  <c r="CA287" i="9" s="1"/>
  <c r="F286" i="9"/>
  <c r="W289" i="9" l="1"/>
  <c r="BN289" i="9"/>
  <c r="BY289" i="9" s="1"/>
  <c r="BT292" i="9"/>
  <c r="X294" i="9"/>
  <c r="BU297" i="9"/>
  <c r="BO294" i="9"/>
  <c r="E287" i="9"/>
  <c r="D287" i="9"/>
  <c r="BZ287" i="9" l="1"/>
  <c r="X295" i="9"/>
  <c r="BO295" i="9"/>
  <c r="BU298" i="9"/>
  <c r="CB286" i="9"/>
  <c r="W290" i="9"/>
  <c r="BN290" i="9"/>
  <c r="BY290" i="9" s="1"/>
  <c r="BT293" i="9"/>
  <c r="B288" i="9"/>
  <c r="CA288" i="9" s="1"/>
  <c r="F287" i="9"/>
  <c r="W291" i="9" l="1"/>
  <c r="BT294" i="9"/>
  <c r="BN291" i="9"/>
  <c r="X296" i="9"/>
  <c r="BO296" i="9"/>
  <c r="BU299" i="9"/>
  <c r="E288" i="9"/>
  <c r="D288" i="9"/>
  <c r="X297" i="9" l="1"/>
  <c r="BO297" i="9"/>
  <c r="BU300" i="9"/>
  <c r="BZ288" i="9"/>
  <c r="CB287" i="9"/>
  <c r="W292" i="9"/>
  <c r="BN292" i="9"/>
  <c r="BT295" i="9"/>
  <c r="B289" i="9"/>
  <c r="CA289" i="9" s="1"/>
  <c r="F288" i="9"/>
  <c r="W293" i="9" l="1"/>
  <c r="BN293" i="9"/>
  <c r="BT296" i="9"/>
  <c r="X298" i="9"/>
  <c r="BU301" i="9"/>
  <c r="BO298" i="9"/>
  <c r="E289" i="9"/>
  <c r="D289" i="9"/>
  <c r="X299" i="9" l="1"/>
  <c r="BO299" i="9"/>
  <c r="BU302" i="9"/>
  <c r="BZ289" i="9"/>
  <c r="CB288" i="9"/>
  <c r="W294" i="9"/>
  <c r="BN294" i="9"/>
  <c r="BT297" i="9"/>
  <c r="B290" i="9"/>
  <c r="CA290" i="9" s="1"/>
  <c r="F289" i="9"/>
  <c r="W295" i="9" l="1"/>
  <c r="BN295" i="9"/>
  <c r="BT298" i="9"/>
  <c r="X300" i="9"/>
  <c r="BO300" i="9"/>
  <c r="BU303" i="9"/>
  <c r="V290" i="9"/>
  <c r="D290" i="9"/>
  <c r="E290" i="9"/>
  <c r="BO301" i="9" l="1"/>
  <c r="BU304" i="9"/>
  <c r="V291" i="9"/>
  <c r="BM291" i="9"/>
  <c r="BY291" i="9" s="1"/>
  <c r="BS294" i="9"/>
  <c r="BZ290" i="9"/>
  <c r="CB289" i="9"/>
  <c r="W296" i="9"/>
  <c r="BN296" i="9"/>
  <c r="BT299" i="9"/>
  <c r="F290" i="9"/>
  <c r="B291" i="9"/>
  <c r="CA291" i="9" s="1"/>
  <c r="V292" i="9" l="1"/>
  <c r="BS295" i="9"/>
  <c r="BM292" i="9"/>
  <c r="BY292" i="9" s="1"/>
  <c r="W297" i="9"/>
  <c r="BN297" i="9"/>
  <c r="BT300" i="9"/>
  <c r="AD301" i="9"/>
  <c r="AD302" i="9" s="1"/>
  <c r="AD303" i="9" s="1"/>
  <c r="AD304" i="9" s="1"/>
  <c r="AD305" i="9" s="1"/>
  <c r="AD306" i="9" s="1"/>
  <c r="AD307" i="9" s="1"/>
  <c r="AD308" i="9" s="1"/>
  <c r="AD309" i="9" s="1"/>
  <c r="AD310" i="9" s="1"/>
  <c r="AD311" i="9" s="1"/>
  <c r="AD312" i="9" s="1"/>
  <c r="AD313" i="9" s="1"/>
  <c r="AD314" i="9" s="1"/>
  <c r="AD315" i="9" s="1"/>
  <c r="AD316" i="9" s="1"/>
  <c r="AD317" i="9" s="1"/>
  <c r="AD318" i="9" s="1"/>
  <c r="AD319" i="9" s="1"/>
  <c r="AD320" i="9" s="1"/>
  <c r="AD321" i="9" s="1"/>
  <c r="AD322" i="9" s="1"/>
  <c r="AD323" i="9" s="1"/>
  <c r="AD324" i="9" s="1"/>
  <c r="AD325" i="9" s="1"/>
  <c r="AD326" i="9" s="1"/>
  <c r="AD327" i="9" s="1"/>
  <c r="AD328" i="9" s="1"/>
  <c r="AD329" i="9" s="1"/>
  <c r="AD330" i="9" s="1"/>
  <c r="AD331" i="9" s="1"/>
  <c r="AD332" i="9" s="1"/>
  <c r="AD333" i="9" s="1"/>
  <c r="AD334" i="9" s="1"/>
  <c r="AD335" i="9" s="1"/>
  <c r="AD336" i="9" s="1"/>
  <c r="AD337" i="9" s="1"/>
  <c r="AD338" i="9" s="1"/>
  <c r="AD339" i="9" s="1"/>
  <c r="AD340" i="9" s="1"/>
  <c r="AD341" i="9" s="1"/>
  <c r="AD342" i="9" s="1"/>
  <c r="AD343" i="9" s="1"/>
  <c r="AD344" i="9" s="1"/>
  <c r="AD345" i="9" s="1"/>
  <c r="AD346" i="9" s="1"/>
  <c r="AD347" i="9" s="1"/>
  <c r="AD348" i="9" s="1"/>
  <c r="AD349" i="9" s="1"/>
  <c r="AD350" i="9" s="1"/>
  <c r="AD351" i="9" s="1"/>
  <c r="AD352" i="9" s="1"/>
  <c r="AD353" i="9" s="1"/>
  <c r="AD354" i="9" s="1"/>
  <c r="AD355" i="9" s="1"/>
  <c r="AD356" i="9" s="1"/>
  <c r="AD357" i="9" s="1"/>
  <c r="AD358" i="9" s="1"/>
  <c r="AD359" i="9" s="1"/>
  <c r="AD360" i="9" s="1"/>
  <c r="AD361" i="9" s="1"/>
  <c r="AD362" i="9" s="1"/>
  <c r="AD363" i="9" s="1"/>
  <c r="AD364" i="9" s="1"/>
  <c r="AD365" i="9" s="1"/>
  <c r="AD366" i="9" s="1"/>
  <c r="AD367" i="9" s="1"/>
  <c r="AD368" i="9" s="1"/>
  <c r="AD369" i="9" s="1"/>
  <c r="AD370" i="9" s="1"/>
  <c r="AD371" i="9" s="1"/>
  <c r="AD372" i="9" s="1"/>
  <c r="AD373" i="9" s="1"/>
  <c r="AD374" i="9" s="1"/>
  <c r="AD375" i="9" s="1"/>
  <c r="AD376" i="9" s="1"/>
  <c r="AD377" i="9" s="1"/>
  <c r="AD378" i="9" s="1"/>
  <c r="AD379" i="9" s="1"/>
  <c r="AD380" i="9" s="1"/>
  <c r="AD381" i="9" s="1"/>
  <c r="AD382" i="9" s="1"/>
  <c r="AD383" i="9" s="1"/>
  <c r="AD384" i="9" s="1"/>
  <c r="D291" i="9"/>
  <c r="E291" i="9"/>
  <c r="BZ291" i="9" l="1"/>
  <c r="V293" i="9"/>
  <c r="BM293" i="9"/>
  <c r="BY293" i="9" s="1"/>
  <c r="BS296" i="9"/>
  <c r="W298" i="9"/>
  <c r="BN298" i="9"/>
  <c r="BT301" i="9"/>
  <c r="CB290" i="9"/>
  <c r="F291" i="9"/>
  <c r="B292" i="9"/>
  <c r="CA292" i="9" s="1"/>
  <c r="V294" i="9" l="1"/>
  <c r="BM294" i="9"/>
  <c r="BY294" i="9" s="1"/>
  <c r="BS297" i="9"/>
  <c r="W299" i="9"/>
  <c r="BN299" i="9"/>
  <c r="BT302" i="9"/>
  <c r="D292" i="9"/>
  <c r="E292" i="9"/>
  <c r="W300" i="9" l="1"/>
  <c r="BN300" i="9"/>
  <c r="BT303" i="9"/>
  <c r="BZ292" i="9"/>
  <c r="CB291" i="9"/>
  <c r="V295" i="9"/>
  <c r="BM295" i="9"/>
  <c r="BY295" i="9" s="1"/>
  <c r="BS298" i="9"/>
  <c r="F292" i="9"/>
  <c r="B293" i="9"/>
  <c r="CA293" i="9" s="1"/>
  <c r="BS299" i="9" l="1"/>
  <c r="BM296" i="9"/>
  <c r="BY296" i="9" s="1"/>
  <c r="V296" i="9"/>
  <c r="W301" i="9"/>
  <c r="BN301" i="9"/>
  <c r="BT304" i="9"/>
  <c r="D293" i="9"/>
  <c r="E293" i="9"/>
  <c r="BZ293" i="9" s="1"/>
  <c r="V297" i="9" l="1"/>
  <c r="BM297" i="9"/>
  <c r="BS300" i="9"/>
  <c r="CB292" i="9"/>
  <c r="W302" i="9"/>
  <c r="BN302" i="9"/>
  <c r="BT305" i="9"/>
  <c r="F293" i="9"/>
  <c r="B294" i="9"/>
  <c r="CA294" i="9" s="1"/>
  <c r="W303" i="9" l="1"/>
  <c r="BN303" i="9"/>
  <c r="BT306" i="9"/>
  <c r="V298" i="9"/>
  <c r="BM298" i="9"/>
  <c r="BS301" i="9"/>
  <c r="D294" i="9"/>
  <c r="E294" i="9"/>
  <c r="BZ294" i="9" l="1"/>
  <c r="CB293" i="9"/>
  <c r="V299" i="9"/>
  <c r="BM299" i="9"/>
  <c r="BS302" i="9"/>
  <c r="W304" i="9"/>
  <c r="BN304" i="9"/>
  <c r="BT307" i="9"/>
  <c r="F294" i="9"/>
  <c r="B295" i="9"/>
  <c r="CA295" i="9" s="1"/>
  <c r="V300" i="9" l="1"/>
  <c r="BS303" i="9"/>
  <c r="BM300" i="9"/>
  <c r="W305" i="9"/>
  <c r="BT308" i="9"/>
  <c r="BN305" i="9"/>
  <c r="E295" i="9"/>
  <c r="CB294" i="9" s="1"/>
  <c r="D295" i="9"/>
  <c r="BN306" i="9" l="1"/>
  <c r="BT309" i="9"/>
  <c r="BZ295" i="9"/>
  <c r="V301" i="9"/>
  <c r="BM301" i="9"/>
  <c r="BS304" i="9"/>
  <c r="B296" i="9"/>
  <c r="CA296" i="9" s="1"/>
  <c r="F295" i="9"/>
  <c r="BM302" i="9" l="1"/>
  <c r="BS305" i="9"/>
  <c r="V302" i="9"/>
  <c r="E296" i="9"/>
  <c r="CB295" i="9" s="1"/>
  <c r="Y296" i="9"/>
  <c r="D296" i="9"/>
  <c r="V303" i="9" l="1"/>
  <c r="BM303" i="9"/>
  <c r="BS306" i="9"/>
  <c r="Y297" i="9"/>
  <c r="BV300" i="9"/>
  <c r="BP297" i="9"/>
  <c r="BY297" i="9" s="1"/>
  <c r="BZ296" i="9"/>
  <c r="B297" i="9"/>
  <c r="CA297" i="9" s="1"/>
  <c r="F296" i="9"/>
  <c r="Y298" i="9" l="1"/>
  <c r="BP298" i="9"/>
  <c r="BY298" i="9" s="1"/>
  <c r="BV301" i="9"/>
  <c r="V304" i="9"/>
  <c r="BM304" i="9"/>
  <c r="BS307" i="9"/>
  <c r="E297" i="9"/>
  <c r="D297" i="9"/>
  <c r="V305" i="9" l="1"/>
  <c r="BM305" i="9"/>
  <c r="BS308" i="9"/>
  <c r="CB296" i="9"/>
  <c r="BZ297" i="9"/>
  <c r="Y299" i="9"/>
  <c r="BP299" i="9"/>
  <c r="BY299" i="9" s="1"/>
  <c r="BV302" i="9"/>
  <c r="B298" i="9"/>
  <c r="CA298" i="9" s="1"/>
  <c r="F297" i="9"/>
  <c r="Y300" i="9" l="1"/>
  <c r="BP300" i="9"/>
  <c r="BY300" i="9" s="1"/>
  <c r="BV303" i="9"/>
  <c r="V306" i="9"/>
  <c r="BS309" i="9"/>
  <c r="BM306" i="9"/>
  <c r="E298" i="9"/>
  <c r="D298" i="9"/>
  <c r="V307" i="9" l="1"/>
  <c r="BM307" i="9"/>
  <c r="BS310" i="9"/>
  <c r="BZ298" i="9"/>
  <c r="CB297" i="9"/>
  <c r="Y301" i="9"/>
  <c r="BP301" i="9"/>
  <c r="BY301" i="9" s="1"/>
  <c r="BV304" i="9"/>
  <c r="B299" i="9"/>
  <c r="CA299" i="9" s="1"/>
  <c r="F298" i="9"/>
  <c r="Y302" i="9" l="1"/>
  <c r="BP302" i="9"/>
  <c r="BV305" i="9"/>
  <c r="V308" i="9"/>
  <c r="BM308" i="9"/>
  <c r="BS311" i="9"/>
  <c r="E299" i="9"/>
  <c r="CB298" i="9" s="1"/>
  <c r="D299" i="9"/>
  <c r="V309" i="9" l="1"/>
  <c r="BM309" i="9"/>
  <c r="BS312" i="9"/>
  <c r="Y303" i="9"/>
  <c r="BP303" i="9"/>
  <c r="BV306" i="9"/>
  <c r="BZ299" i="9"/>
  <c r="B300" i="9"/>
  <c r="CA300" i="9" s="1"/>
  <c r="F299" i="9"/>
  <c r="Y304" i="9" l="1"/>
  <c r="BP304" i="9"/>
  <c r="BV307" i="9"/>
  <c r="V310" i="9"/>
  <c r="BM310" i="9"/>
  <c r="BS313" i="9"/>
  <c r="E300" i="9"/>
  <c r="D300" i="9"/>
  <c r="BZ300" i="9" l="1"/>
  <c r="CB299" i="9"/>
  <c r="BM311" i="9"/>
  <c r="BS314" i="9"/>
  <c r="Y305" i="9"/>
  <c r="BP305" i="9"/>
  <c r="BV308" i="9"/>
  <c r="B301" i="9"/>
  <c r="CA301" i="9" s="1"/>
  <c r="F300" i="9"/>
  <c r="Y306" i="9" l="1"/>
  <c r="BP306" i="9"/>
  <c r="BV309" i="9"/>
  <c r="E301" i="9"/>
  <c r="X301" i="9"/>
  <c r="D301" i="9"/>
  <c r="BZ301" i="9" l="1"/>
  <c r="CB300" i="9"/>
  <c r="Y307" i="9"/>
  <c r="BV310" i="9"/>
  <c r="BP307" i="9"/>
  <c r="X302" i="9"/>
  <c r="BO302" i="9"/>
  <c r="BY302" i="9" s="1"/>
  <c r="BU305" i="9"/>
  <c r="B302" i="9"/>
  <c r="CA302" i="9" s="1"/>
  <c r="F301" i="9"/>
  <c r="Y308" i="9" l="1"/>
  <c r="BP308" i="9"/>
  <c r="BV311" i="9"/>
  <c r="X303" i="9"/>
  <c r="BO303" i="9"/>
  <c r="BY303" i="9" s="1"/>
  <c r="BU306" i="9"/>
  <c r="E302" i="9"/>
  <c r="D302" i="9"/>
  <c r="X304" i="9" l="1"/>
  <c r="BO304" i="9"/>
  <c r="BY304" i="9" s="1"/>
  <c r="BU307" i="9"/>
  <c r="BZ302" i="9"/>
  <c r="CB301" i="9"/>
  <c r="Y309" i="9"/>
  <c r="BP309" i="9"/>
  <c r="BV312" i="9"/>
  <c r="F302" i="9"/>
  <c r="B303" i="9"/>
  <c r="CA303" i="9" s="1"/>
  <c r="Y310" i="9" l="1"/>
  <c r="BV313" i="9"/>
  <c r="BP310" i="9"/>
  <c r="X305" i="9"/>
  <c r="BO305" i="9"/>
  <c r="BY305" i="9" s="1"/>
  <c r="BU308" i="9"/>
  <c r="E303" i="9"/>
  <c r="CB302" i="9" s="1"/>
  <c r="D303" i="9"/>
  <c r="X306" i="9" l="1"/>
  <c r="BO306" i="9"/>
  <c r="BY306" i="9" s="1"/>
  <c r="BU309" i="9"/>
  <c r="Y311" i="9"/>
  <c r="BP311" i="9"/>
  <c r="BV314" i="9"/>
  <c r="BZ303" i="9"/>
  <c r="B304" i="9"/>
  <c r="CA304" i="9" s="1"/>
  <c r="F303" i="9"/>
  <c r="Y312" i="9" l="1"/>
  <c r="BP312" i="9"/>
  <c r="BV315" i="9"/>
  <c r="X307" i="9"/>
  <c r="BU310" i="9"/>
  <c r="BO307" i="9"/>
  <c r="E304" i="9"/>
  <c r="D304" i="9"/>
  <c r="X308" i="9" l="1"/>
  <c r="BO308" i="9"/>
  <c r="BU311" i="9"/>
  <c r="BZ304" i="9"/>
  <c r="CB303" i="9"/>
  <c r="Y313" i="9"/>
  <c r="BP313" i="9"/>
  <c r="BV316" i="9"/>
  <c r="B305" i="9"/>
  <c r="CA305" i="9" s="1"/>
  <c r="F304" i="9"/>
  <c r="Y314" i="9" l="1"/>
  <c r="BP314" i="9"/>
  <c r="X309" i="9"/>
  <c r="BU312" i="9"/>
  <c r="BO309" i="9"/>
  <c r="E305" i="9"/>
  <c r="D305" i="9"/>
  <c r="BZ305" i="9" l="1"/>
  <c r="CB304" i="9"/>
  <c r="Y315" i="9"/>
  <c r="BP315" i="9"/>
  <c r="X310" i="9"/>
  <c r="BO310" i="9"/>
  <c r="BU313" i="9"/>
  <c r="B306" i="9"/>
  <c r="CA306" i="9" s="1"/>
  <c r="F305" i="9"/>
  <c r="X311" i="9" l="1"/>
  <c r="BU314" i="9"/>
  <c r="BO311" i="9"/>
  <c r="Y316" i="9"/>
  <c r="BP316" i="9"/>
  <c r="E306" i="9"/>
  <c r="BZ306" i="9" s="1"/>
  <c r="D306" i="9"/>
  <c r="W306" i="9"/>
  <c r="W307" i="9" l="1"/>
  <c r="BN307" i="9"/>
  <c r="BY307" i="9" s="1"/>
  <c r="BT310" i="9"/>
  <c r="CB305" i="9"/>
  <c r="X312" i="9"/>
  <c r="BO312" i="9"/>
  <c r="BU315" i="9"/>
  <c r="B307" i="9"/>
  <c r="CA307" i="9" s="1"/>
  <c r="F306" i="9"/>
  <c r="X313" i="9" l="1"/>
  <c r="BO313" i="9"/>
  <c r="BU316" i="9"/>
  <c r="W308" i="9"/>
  <c r="BN308" i="9"/>
  <c r="BY308" i="9" s="1"/>
  <c r="BT311" i="9"/>
  <c r="E307" i="9"/>
  <c r="D307" i="9"/>
  <c r="CB306" i="9" l="1"/>
  <c r="BZ307" i="9"/>
  <c r="X314" i="9"/>
  <c r="BO314" i="9"/>
  <c r="W309" i="9"/>
  <c r="BT312" i="9"/>
  <c r="BN309" i="9"/>
  <c r="BY309" i="9" s="1"/>
  <c r="B308" i="9"/>
  <c r="CA308" i="9" s="1"/>
  <c r="F307" i="9"/>
  <c r="X315" i="9" l="1"/>
  <c r="BO315" i="9"/>
  <c r="W310" i="9"/>
  <c r="BN310" i="9"/>
  <c r="BY310" i="9" s="1"/>
  <c r="BT313" i="9"/>
  <c r="E308" i="9"/>
  <c r="CB307" i="9" s="1"/>
  <c r="D308" i="9"/>
  <c r="BZ308" i="9" l="1"/>
  <c r="X316" i="9"/>
  <c r="X317" i="9" s="1"/>
  <c r="X318" i="9" s="1"/>
  <c r="X319" i="9" s="1"/>
  <c r="X320" i="9" s="1"/>
  <c r="X321" i="9" s="1"/>
  <c r="BO316" i="9"/>
  <c r="W311" i="9"/>
  <c r="BN311" i="9"/>
  <c r="BY311" i="9" s="1"/>
  <c r="BT314" i="9"/>
  <c r="B309" i="9"/>
  <c r="CA309" i="9" s="1"/>
  <c r="F308" i="9"/>
  <c r="W312" i="9" l="1"/>
  <c r="BT315" i="9"/>
  <c r="BN312" i="9"/>
  <c r="E309" i="9"/>
  <c r="D309" i="9"/>
  <c r="BZ309" i="9" l="1"/>
  <c r="CB308" i="9"/>
  <c r="W313" i="9"/>
  <c r="BT316" i="9"/>
  <c r="BN313" i="9"/>
  <c r="B310" i="9"/>
  <c r="CA310" i="9" s="1"/>
  <c r="F309" i="9"/>
  <c r="W314" i="9" l="1"/>
  <c r="BN314" i="9"/>
  <c r="E310" i="9"/>
  <c r="D310" i="9"/>
  <c r="BZ310" i="9" l="1"/>
  <c r="CB309" i="9"/>
  <c r="W315" i="9"/>
  <c r="BN315" i="9"/>
  <c r="B311" i="9"/>
  <c r="CA311" i="9" s="1"/>
  <c r="F310" i="9"/>
  <c r="W316" i="9" l="1"/>
  <c r="W317" i="9" s="1"/>
  <c r="W318" i="9" s="1"/>
  <c r="W319" i="9" s="1"/>
  <c r="W320" i="9" s="1"/>
  <c r="W321" i="9" s="1"/>
  <c r="W322" i="9" s="1"/>
  <c r="W323" i="9" s="1"/>
  <c r="W324" i="9" s="1"/>
  <c r="W325" i="9" s="1"/>
  <c r="W326" i="9" s="1"/>
  <c r="BN316" i="9"/>
  <c r="V311" i="9"/>
  <c r="E311" i="9"/>
  <c r="D311" i="9"/>
  <c r="BZ311" i="9" l="1"/>
  <c r="CB310" i="9"/>
  <c r="V312" i="9"/>
  <c r="BM312" i="9"/>
  <c r="BY312" i="9" s="1"/>
  <c r="BS315" i="9"/>
  <c r="AF322" i="9"/>
  <c r="AF323" i="9" s="1"/>
  <c r="AF324" i="9" s="1"/>
  <c r="AF325" i="9" s="1"/>
  <c r="AF326" i="9" s="1"/>
  <c r="AF327" i="9" s="1"/>
  <c r="AF328" i="9" s="1"/>
  <c r="AF329" i="9" s="1"/>
  <c r="AF330" i="9" s="1"/>
  <c r="AF331" i="9" s="1"/>
  <c r="AF332" i="9" s="1"/>
  <c r="AF333" i="9" s="1"/>
  <c r="AF334" i="9" s="1"/>
  <c r="AF335" i="9" s="1"/>
  <c r="AF336" i="9" s="1"/>
  <c r="AF337" i="9" s="1"/>
  <c r="AF338" i="9" s="1"/>
  <c r="AF339" i="9" s="1"/>
  <c r="AF340" i="9" s="1"/>
  <c r="AF341" i="9" s="1"/>
  <c r="AF342" i="9" s="1"/>
  <c r="AF343" i="9" s="1"/>
  <c r="AF344" i="9" s="1"/>
  <c r="AF345" i="9" s="1"/>
  <c r="AF346" i="9" s="1"/>
  <c r="AF347" i="9" s="1"/>
  <c r="AF348" i="9" s="1"/>
  <c r="AF349" i="9" s="1"/>
  <c r="AF350" i="9" s="1"/>
  <c r="AF351" i="9" s="1"/>
  <c r="AF352" i="9" s="1"/>
  <c r="AF353" i="9" s="1"/>
  <c r="AF354" i="9" s="1"/>
  <c r="AF355" i="9" s="1"/>
  <c r="AF356" i="9" s="1"/>
  <c r="AF357" i="9" s="1"/>
  <c r="AF358" i="9" s="1"/>
  <c r="AF359" i="9" s="1"/>
  <c r="AF360" i="9" s="1"/>
  <c r="AF361" i="9" s="1"/>
  <c r="AF362" i="9" s="1"/>
  <c r="AF363" i="9" s="1"/>
  <c r="AF364" i="9" s="1"/>
  <c r="AF365" i="9" s="1"/>
  <c r="AF366" i="9" s="1"/>
  <c r="AF367" i="9" s="1"/>
  <c r="AF368" i="9" s="1"/>
  <c r="AF369" i="9" s="1"/>
  <c r="AF370" i="9" s="1"/>
  <c r="AF371" i="9" s="1"/>
  <c r="AF372" i="9" s="1"/>
  <c r="AF373" i="9" s="1"/>
  <c r="AF374" i="9" s="1"/>
  <c r="AF375" i="9" s="1"/>
  <c r="AF376" i="9" s="1"/>
  <c r="AF377" i="9" s="1"/>
  <c r="AF378" i="9" s="1"/>
  <c r="AF379" i="9" s="1"/>
  <c r="AF380" i="9" s="1"/>
  <c r="AF381" i="9" s="1"/>
  <c r="AF382" i="9" s="1"/>
  <c r="AF383" i="9" s="1"/>
  <c r="AF384" i="9" s="1"/>
  <c r="AF385" i="9" s="1"/>
  <c r="AF386" i="9" s="1"/>
  <c r="AF387" i="9" s="1"/>
  <c r="AF388" i="9" s="1"/>
  <c r="AF389" i="9" s="1"/>
  <c r="AF390" i="9" s="1"/>
  <c r="AF391" i="9" s="1"/>
  <c r="AF392" i="9" s="1"/>
  <c r="AF393" i="9" s="1"/>
  <c r="AF394" i="9" s="1"/>
  <c r="AF395" i="9" s="1"/>
  <c r="AF396" i="9" s="1"/>
  <c r="AF397" i="9" s="1"/>
  <c r="AF398" i="9" s="1"/>
  <c r="AF399" i="9" s="1"/>
  <c r="AF400" i="9" s="1"/>
  <c r="AF401" i="9" s="1"/>
  <c r="AF402" i="9" s="1"/>
  <c r="AF403" i="9" s="1"/>
  <c r="AF404" i="9" s="1"/>
  <c r="AF405" i="9" s="1"/>
  <c r="B312" i="9"/>
  <c r="CA312" i="9" s="1"/>
  <c r="F311" i="9"/>
  <c r="V313" i="9" l="1"/>
  <c r="BM313" i="9"/>
  <c r="BY313" i="9" s="1"/>
  <c r="BS316" i="9"/>
  <c r="E312" i="9"/>
  <c r="CB311" i="9" s="1"/>
  <c r="D312" i="9"/>
  <c r="BZ312" i="9" l="1"/>
  <c r="V314" i="9"/>
  <c r="BM314" i="9"/>
  <c r="BY314" i="9" s="1"/>
  <c r="B313" i="9"/>
  <c r="CA313" i="9" s="1"/>
  <c r="F312" i="9"/>
  <c r="V315" i="9" l="1"/>
  <c r="BM315" i="9"/>
  <c r="BY315" i="9" s="1"/>
  <c r="E313" i="9"/>
  <c r="D313" i="9"/>
  <c r="BZ313" i="9" l="1"/>
  <c r="CB312" i="9"/>
  <c r="V316" i="9"/>
  <c r="V317" i="9" s="1"/>
  <c r="V318" i="9" s="1"/>
  <c r="V319" i="9" s="1"/>
  <c r="V320" i="9" s="1"/>
  <c r="V321" i="9" s="1"/>
  <c r="V322" i="9" s="1"/>
  <c r="V323" i="9" s="1"/>
  <c r="V324" i="9" s="1"/>
  <c r="V325" i="9" s="1"/>
  <c r="V326" i="9" s="1"/>
  <c r="V327" i="9" s="1"/>
  <c r="V328" i="9" s="1"/>
  <c r="V329" i="9" s="1"/>
  <c r="V330" i="9" s="1"/>
  <c r="V331" i="9" s="1"/>
  <c r="BM316" i="9"/>
  <c r="BY316" i="9" s="1"/>
  <c r="B314" i="9"/>
  <c r="CA314" i="9" s="1"/>
  <c r="F313" i="9"/>
  <c r="E314" i="9" l="1"/>
  <c r="D314" i="9"/>
  <c r="BZ314" i="9" l="1"/>
  <c r="CB313" i="9"/>
  <c r="B315" i="9"/>
  <c r="CA315" i="9" s="1"/>
  <c r="F314" i="9"/>
  <c r="E315" i="9" l="1"/>
  <c r="D315" i="9"/>
  <c r="BZ315" i="9" l="1"/>
  <c r="CB314" i="9"/>
  <c r="B316" i="9"/>
  <c r="CA316" i="9" s="1"/>
  <c r="F315" i="9"/>
  <c r="E316" i="9" l="1"/>
  <c r="CB315" i="9" s="1"/>
  <c r="D316" i="9"/>
  <c r="BZ316" i="9" l="1"/>
  <c r="B317" i="9"/>
  <c r="F316" i="9"/>
  <c r="E317" i="9" l="1"/>
  <c r="CB316" i="9" s="1"/>
  <c r="Y317" i="9"/>
  <c r="Y318" i="9" s="1"/>
  <c r="Y319" i="9" s="1"/>
  <c r="Y320" i="9" s="1"/>
  <c r="Y321" i="9" s="1"/>
  <c r="Y322" i="9" s="1"/>
  <c r="Y323" i="9" s="1"/>
  <c r="Y324" i="9" s="1"/>
  <c r="Y325" i="9" s="1"/>
  <c r="Y326" i="9" s="1"/>
  <c r="Y327" i="9" s="1"/>
  <c r="Y328" i="9" s="1"/>
  <c r="Y329" i="9" s="1"/>
  <c r="Y330" i="9" s="1"/>
  <c r="Y331" i="9" s="1"/>
  <c r="Y332" i="9" s="1"/>
  <c r="Y333" i="9" s="1"/>
  <c r="Y334" i="9" s="1"/>
  <c r="Y335" i="9" s="1"/>
  <c r="Y336" i="9" s="1"/>
  <c r="Y337" i="9" s="1"/>
  <c r="D317" i="9"/>
  <c r="B318" i="9" l="1"/>
  <c r="F317" i="9"/>
  <c r="E318" i="9" l="1"/>
  <c r="D318" i="9"/>
  <c r="B319" i="9" l="1"/>
  <c r="F318" i="9"/>
  <c r="E319" i="9" l="1"/>
  <c r="D319" i="9"/>
  <c r="B320" i="9" l="1"/>
  <c r="F319" i="9"/>
  <c r="E320" i="9" l="1"/>
  <c r="D320" i="9"/>
  <c r="B321" i="9" l="1"/>
  <c r="F320" i="9"/>
  <c r="E321" i="9" l="1"/>
  <c r="D321" i="9"/>
  <c r="B322" i="9" l="1"/>
  <c r="F321" i="9"/>
  <c r="E322" i="9" l="1"/>
  <c r="D322" i="9"/>
  <c r="X322" i="9"/>
  <c r="X323" i="9" s="1"/>
  <c r="X324" i="9" s="1"/>
  <c r="X325" i="9" s="1"/>
  <c r="X326" i="9" s="1"/>
  <c r="X327" i="9" s="1"/>
  <c r="X328" i="9" s="1"/>
  <c r="X329" i="9" s="1"/>
  <c r="X330" i="9" s="1"/>
  <c r="X331" i="9" s="1"/>
  <c r="X332" i="9" s="1"/>
  <c r="X333" i="9" s="1"/>
  <c r="X334" i="9" s="1"/>
  <c r="X335" i="9" s="1"/>
  <c r="X336" i="9" s="1"/>
  <c r="X337" i="9" s="1"/>
  <c r="X338" i="9" s="1"/>
  <c r="X339" i="9" s="1"/>
  <c r="X340" i="9" s="1"/>
  <c r="X341" i="9" s="1"/>
  <c r="X342" i="9" s="1"/>
  <c r="B323" i="9" l="1"/>
  <c r="F322" i="9"/>
  <c r="E323" i="9" l="1"/>
  <c r="D323" i="9"/>
  <c r="B324" i="9" l="1"/>
  <c r="F323" i="9"/>
  <c r="E324" i="9" l="1"/>
  <c r="D324" i="9"/>
  <c r="B325" i="9" l="1"/>
  <c r="F324" i="9"/>
  <c r="E325" i="9" l="1"/>
  <c r="D325" i="9"/>
  <c r="B326" i="9" l="1"/>
  <c r="F325" i="9"/>
  <c r="E326" i="9" l="1"/>
  <c r="D326" i="9"/>
  <c r="B327" i="9" l="1"/>
  <c r="F326" i="9"/>
  <c r="E327" i="9" l="1"/>
  <c r="W327" i="9"/>
  <c r="W328" i="9" s="1"/>
  <c r="W329" i="9" s="1"/>
  <c r="W330" i="9" s="1"/>
  <c r="W331" i="9" s="1"/>
  <c r="W332" i="9" s="1"/>
  <c r="W333" i="9" s="1"/>
  <c r="W334" i="9" s="1"/>
  <c r="W335" i="9" s="1"/>
  <c r="W336" i="9" s="1"/>
  <c r="W337" i="9" s="1"/>
  <c r="W338" i="9" s="1"/>
  <c r="W339" i="9" s="1"/>
  <c r="W340" i="9" s="1"/>
  <c r="W341" i="9" s="1"/>
  <c r="W342" i="9" s="1"/>
  <c r="W343" i="9" s="1"/>
  <c r="W344" i="9" s="1"/>
  <c r="W345" i="9" s="1"/>
  <c r="W346" i="9" s="1"/>
  <c r="W347" i="9" s="1"/>
  <c r="D327" i="9"/>
  <c r="B328" i="9" l="1"/>
  <c r="F327" i="9"/>
  <c r="E328" i="9" l="1"/>
  <c r="D328" i="9"/>
  <c r="B329" i="9" l="1"/>
  <c r="F328" i="9"/>
  <c r="E329" i="9" l="1"/>
  <c r="D329" i="9"/>
  <c r="B330" i="9" l="1"/>
  <c r="F329" i="9"/>
  <c r="E330" i="9" l="1"/>
  <c r="D330" i="9"/>
  <c r="B331" i="9" l="1"/>
  <c r="F330" i="9"/>
  <c r="E331" i="9" l="1"/>
  <c r="D331" i="9"/>
  <c r="B332" i="9" l="1"/>
  <c r="F331" i="9"/>
  <c r="V332" i="9" l="1"/>
  <c r="V333" i="9" s="1"/>
  <c r="V334" i="9" s="1"/>
  <c r="V335" i="9" s="1"/>
  <c r="V336" i="9" s="1"/>
  <c r="V337" i="9" s="1"/>
  <c r="V338" i="9" s="1"/>
  <c r="V339" i="9" s="1"/>
  <c r="V340" i="9" s="1"/>
  <c r="V341" i="9" s="1"/>
  <c r="V342" i="9" s="1"/>
  <c r="V343" i="9" s="1"/>
  <c r="E332" i="9"/>
  <c r="D332" i="9"/>
  <c r="V344" i="9" l="1"/>
  <c r="V345" i="9" s="1"/>
  <c r="V346" i="9" s="1"/>
  <c r="AE343" i="9"/>
  <c r="AE344" i="9" s="1"/>
  <c r="AE345" i="9" s="1"/>
  <c r="AE346" i="9" s="1"/>
  <c r="AE347" i="9" s="1"/>
  <c r="AE348" i="9" s="1"/>
  <c r="AE349" i="9" s="1"/>
  <c r="AE350" i="9" s="1"/>
  <c r="AE351" i="9" s="1"/>
  <c r="AE352" i="9" s="1"/>
  <c r="AE353" i="9" s="1"/>
  <c r="AE354" i="9" s="1"/>
  <c r="AE355" i="9" s="1"/>
  <c r="AE356" i="9" s="1"/>
  <c r="AE357" i="9" s="1"/>
  <c r="AE358" i="9" s="1"/>
  <c r="AE359" i="9" s="1"/>
  <c r="AE360" i="9" s="1"/>
  <c r="AE361" i="9" s="1"/>
  <c r="AE362" i="9" s="1"/>
  <c r="AE363" i="9" s="1"/>
  <c r="AE364" i="9" s="1"/>
  <c r="AE365" i="9" s="1"/>
  <c r="AE366" i="9" s="1"/>
  <c r="AE367" i="9" s="1"/>
  <c r="AE368" i="9" s="1"/>
  <c r="AE369" i="9" s="1"/>
  <c r="AE370" i="9" s="1"/>
  <c r="AE371" i="9" s="1"/>
  <c r="AE372" i="9" s="1"/>
  <c r="AE373" i="9" s="1"/>
  <c r="AE374" i="9" s="1"/>
  <c r="AE375" i="9" s="1"/>
  <c r="AE376" i="9" s="1"/>
  <c r="AE377" i="9" s="1"/>
  <c r="AE378" i="9" s="1"/>
  <c r="AE379" i="9" s="1"/>
  <c r="AE380" i="9" s="1"/>
  <c r="AE381" i="9" s="1"/>
  <c r="AE382" i="9" s="1"/>
  <c r="AE383" i="9" s="1"/>
  <c r="AE384" i="9" s="1"/>
  <c r="AE385" i="9" s="1"/>
  <c r="AE386" i="9" s="1"/>
  <c r="AE387" i="9" s="1"/>
  <c r="AE388" i="9" s="1"/>
  <c r="AE389" i="9" s="1"/>
  <c r="AE390" i="9" s="1"/>
  <c r="AE391" i="9" s="1"/>
  <c r="AE392" i="9" s="1"/>
  <c r="AE393" i="9" s="1"/>
  <c r="AE394" i="9" s="1"/>
  <c r="AE395" i="9" s="1"/>
  <c r="AE396" i="9" s="1"/>
  <c r="AE397" i="9" s="1"/>
  <c r="AE398" i="9" s="1"/>
  <c r="AE399" i="9" s="1"/>
  <c r="AE400" i="9" s="1"/>
  <c r="AE401" i="9" s="1"/>
  <c r="AE402" i="9" s="1"/>
  <c r="AE403" i="9" s="1"/>
  <c r="AE404" i="9" s="1"/>
  <c r="AE405" i="9" s="1"/>
  <c r="AE406" i="9" s="1"/>
  <c r="AE407" i="9" s="1"/>
  <c r="AE408" i="9" s="1"/>
  <c r="AE409" i="9" s="1"/>
  <c r="AE410" i="9" s="1"/>
  <c r="AE411" i="9" s="1"/>
  <c r="AE412" i="9" s="1"/>
  <c r="AE413" i="9" s="1"/>
  <c r="AE414" i="9" s="1"/>
  <c r="AE415" i="9" s="1"/>
  <c r="AE416" i="9" s="1"/>
  <c r="AE417" i="9" s="1"/>
  <c r="AE418" i="9" s="1"/>
  <c r="AE419" i="9" s="1"/>
  <c r="AE420" i="9" s="1"/>
  <c r="AE421" i="9" s="1"/>
  <c r="B333" i="9"/>
  <c r="F332" i="9"/>
  <c r="V347" i="9" l="1"/>
  <c r="V348" i="9" s="1"/>
  <c r="V349" i="9" s="1"/>
  <c r="V350" i="9" s="1"/>
  <c r="V351" i="9" s="1"/>
  <c r="V352" i="9" s="1"/>
  <c r="E333" i="9"/>
  <c r="D333" i="9"/>
  <c r="B334" i="9" l="1"/>
  <c r="F333" i="9"/>
  <c r="E334" i="9" l="1"/>
  <c r="D334" i="9"/>
  <c r="B335" i="9" l="1"/>
  <c r="F334" i="9"/>
  <c r="E335" i="9" l="1"/>
  <c r="D335" i="9"/>
  <c r="B336" i="9" l="1"/>
  <c r="F335" i="9"/>
  <c r="E336" i="9" l="1"/>
  <c r="D336" i="9"/>
  <c r="B337" i="9" l="1"/>
  <c r="F336" i="9"/>
  <c r="E337" i="9" l="1"/>
  <c r="D337" i="9"/>
  <c r="B338" i="9" l="1"/>
  <c r="F337" i="9"/>
  <c r="E338" i="9" l="1"/>
  <c r="D338" i="9"/>
  <c r="Y338" i="9"/>
  <c r="Y339" i="9" s="1"/>
  <c r="Y340" i="9" s="1"/>
  <c r="Y341" i="9" s="1"/>
  <c r="Y342" i="9" s="1"/>
  <c r="Y343" i="9" s="1"/>
  <c r="Y344" i="9" s="1"/>
  <c r="Y345" i="9" s="1"/>
  <c r="Y346" i="9" s="1"/>
  <c r="Y347" i="9" s="1"/>
  <c r="Y348" i="9" s="1"/>
  <c r="Y349" i="9" s="1"/>
  <c r="Y350" i="9" s="1"/>
  <c r="Y351" i="9" s="1"/>
  <c r="Y352" i="9" s="1"/>
  <c r="Y353" i="9" s="1"/>
  <c r="Y354" i="9" s="1"/>
  <c r="Y355" i="9" s="1"/>
  <c r="Y356" i="9" s="1"/>
  <c r="Y357" i="9" s="1"/>
  <c r="Y358" i="9" s="1"/>
  <c r="B339" i="9" l="1"/>
  <c r="F338" i="9"/>
  <c r="E339" i="9" l="1"/>
  <c r="D339" i="9"/>
  <c r="B340" i="9" l="1"/>
  <c r="F339" i="9"/>
  <c r="E340" i="9" l="1"/>
  <c r="D340" i="9"/>
  <c r="B341" i="9" l="1"/>
  <c r="F340" i="9"/>
  <c r="E341" i="9" l="1"/>
  <c r="D341" i="9"/>
  <c r="F341" i="9" l="1"/>
  <c r="B342" i="9"/>
  <c r="E342" i="9" l="1"/>
  <c r="D342" i="9"/>
  <c r="F342" i="9" l="1"/>
  <c r="B343" i="9"/>
  <c r="E343" i="9" l="1"/>
  <c r="X343" i="9"/>
  <c r="X344" i="9" s="1"/>
  <c r="X345" i="9" s="1"/>
  <c r="X346" i="9" s="1"/>
  <c r="X347" i="9" s="1"/>
  <c r="X348" i="9" s="1"/>
  <c r="X349" i="9" s="1"/>
  <c r="X350" i="9" s="1"/>
  <c r="X351" i="9" s="1"/>
  <c r="X352" i="9" s="1"/>
  <c r="X353" i="9" s="1"/>
  <c r="X354" i="9" s="1"/>
  <c r="X355" i="9" s="1"/>
  <c r="X356" i="9" s="1"/>
  <c r="X357" i="9" s="1"/>
  <c r="X358" i="9" s="1"/>
  <c r="X359" i="9" s="1"/>
  <c r="X360" i="9" s="1"/>
  <c r="X361" i="9" s="1"/>
  <c r="X362" i="9" s="1"/>
  <c r="X363" i="9" s="1"/>
  <c r="D343" i="9"/>
  <c r="F343" i="9" l="1"/>
  <c r="B344" i="9"/>
  <c r="E344" i="9" l="1"/>
  <c r="D344" i="9"/>
  <c r="F344" i="9" l="1"/>
  <c r="B345" i="9"/>
  <c r="E345" i="9" l="1"/>
  <c r="D345" i="9"/>
  <c r="F345" i="9" l="1"/>
  <c r="B346" i="9"/>
  <c r="E346" i="9" l="1"/>
  <c r="D346" i="9"/>
  <c r="F346" i="9" l="1"/>
  <c r="B347" i="9"/>
  <c r="E347" i="9" l="1"/>
  <c r="D347" i="9"/>
  <c r="F347" i="9" l="1"/>
  <c r="B348" i="9"/>
  <c r="W348" i="9" l="1"/>
  <c r="W349" i="9" s="1"/>
  <c r="W350" i="9" s="1"/>
  <c r="W351" i="9" s="1"/>
  <c r="W352" i="9" s="1"/>
  <c r="W353" i="9" s="1"/>
  <c r="W354" i="9" s="1"/>
  <c r="W355" i="9" s="1"/>
  <c r="W356" i="9" s="1"/>
  <c r="W357" i="9" s="1"/>
  <c r="W358" i="9" s="1"/>
  <c r="W359" i="9" s="1"/>
  <c r="W360" i="9" s="1"/>
  <c r="W361" i="9" s="1"/>
  <c r="W362" i="9" s="1"/>
  <c r="W363" i="9" s="1"/>
  <c r="W364" i="9" s="1"/>
  <c r="W365" i="9" s="1"/>
  <c r="W366" i="9" s="1"/>
  <c r="W367" i="9" s="1"/>
  <c r="W368" i="9" s="1"/>
  <c r="E348" i="9"/>
  <c r="D348" i="9"/>
  <c r="B349" i="9" l="1"/>
  <c r="F348" i="9"/>
  <c r="E349" i="9" l="1"/>
  <c r="D349" i="9"/>
  <c r="F349" i="9" l="1"/>
  <c r="B350" i="9"/>
  <c r="E350" i="9" l="1"/>
  <c r="D350" i="9"/>
  <c r="F350" i="9" l="1"/>
  <c r="B351" i="9"/>
  <c r="E351" i="9" l="1"/>
  <c r="D351" i="9"/>
  <c r="F351" i="9" l="1"/>
  <c r="B352" i="9"/>
  <c r="E352" i="9" l="1"/>
  <c r="D352" i="9"/>
  <c r="F352" i="9" l="1"/>
  <c r="B353" i="9"/>
  <c r="V353" i="9" l="1"/>
  <c r="V354" i="9" s="1"/>
  <c r="V355" i="9" s="1"/>
  <c r="V356" i="9" s="1"/>
  <c r="V357" i="9" s="1"/>
  <c r="V358" i="9" s="1"/>
  <c r="V359" i="9" s="1"/>
  <c r="V360" i="9" s="1"/>
  <c r="V361" i="9" s="1"/>
  <c r="V362" i="9" s="1"/>
  <c r="V363" i="9" s="1"/>
  <c r="E353" i="9"/>
  <c r="D353" i="9"/>
  <c r="V364" i="9" l="1"/>
  <c r="V365" i="9" s="1"/>
  <c r="V366" i="9" s="1"/>
  <c r="V367" i="9" s="1"/>
  <c r="V368" i="9" s="1"/>
  <c r="V369" i="9" s="1"/>
  <c r="V370" i="9" s="1"/>
  <c r="V371" i="9" s="1"/>
  <c r="V372" i="9" s="1"/>
  <c r="V373" i="9" s="1"/>
  <c r="AC363" i="9"/>
  <c r="AC364" i="9" s="1"/>
  <c r="AC365" i="9" s="1"/>
  <c r="AC366" i="9" s="1"/>
  <c r="AC367" i="9" s="1"/>
  <c r="AC368" i="9" s="1"/>
  <c r="AC369" i="9" s="1"/>
  <c r="AC370" i="9" s="1"/>
  <c r="AC371" i="9" s="1"/>
  <c r="AC372" i="9" s="1"/>
  <c r="AC373" i="9" s="1"/>
  <c r="AC374" i="9" s="1"/>
  <c r="AC375" i="9" s="1"/>
  <c r="AC376" i="9" s="1"/>
  <c r="AC377" i="9" s="1"/>
  <c r="AC378" i="9" s="1"/>
  <c r="AC379" i="9" s="1"/>
  <c r="AC380" i="9" s="1"/>
  <c r="AC381" i="9" s="1"/>
  <c r="AC382" i="9" s="1"/>
  <c r="AC383" i="9" s="1"/>
  <c r="AC384" i="9" s="1"/>
  <c r="AC385" i="9" s="1"/>
  <c r="AC386" i="9" s="1"/>
  <c r="AC387" i="9" s="1"/>
  <c r="AC388" i="9" s="1"/>
  <c r="AC389" i="9" s="1"/>
  <c r="AC390" i="9" s="1"/>
  <c r="AC391" i="9" s="1"/>
  <c r="AC392" i="9" s="1"/>
  <c r="AC393" i="9" s="1"/>
  <c r="AC394" i="9" s="1"/>
  <c r="AC395" i="9" s="1"/>
  <c r="AC396" i="9" s="1"/>
  <c r="AC397" i="9" s="1"/>
  <c r="AC398" i="9" s="1"/>
  <c r="AC399" i="9" s="1"/>
  <c r="AC400" i="9" s="1"/>
  <c r="AC401" i="9" s="1"/>
  <c r="AC402" i="9" s="1"/>
  <c r="AC403" i="9" s="1"/>
  <c r="AC404" i="9" s="1"/>
  <c r="AC405" i="9" s="1"/>
  <c r="AC406" i="9" s="1"/>
  <c r="AC407" i="9" s="1"/>
  <c r="AC408" i="9" s="1"/>
  <c r="AC409" i="9" s="1"/>
  <c r="AC410" i="9" s="1"/>
  <c r="AC411" i="9" s="1"/>
  <c r="AC412" i="9" s="1"/>
  <c r="AC413" i="9" s="1"/>
  <c r="AC414" i="9" s="1"/>
  <c r="AC415" i="9" s="1"/>
  <c r="AC416" i="9" s="1"/>
  <c r="AC417" i="9" s="1"/>
  <c r="AC418" i="9" s="1"/>
  <c r="AC419" i="9" s="1"/>
  <c r="AC420" i="9" s="1"/>
  <c r="AC421" i="9" s="1"/>
  <c r="F353" i="9"/>
  <c r="B354" i="9"/>
  <c r="E354" i="9" l="1"/>
  <c r="D354" i="9"/>
  <c r="F354" i="9" l="1"/>
  <c r="B355" i="9"/>
  <c r="E355" i="9" l="1"/>
  <c r="D355" i="9"/>
  <c r="F355" i="9" l="1"/>
  <c r="B356" i="9"/>
  <c r="E356" i="9" l="1"/>
  <c r="D356" i="9"/>
  <c r="F356" i="9" l="1"/>
  <c r="B357" i="9"/>
  <c r="E357" i="9" l="1"/>
  <c r="D357" i="9"/>
  <c r="F357" i="9" l="1"/>
  <c r="B358" i="9"/>
  <c r="E358" i="9" l="1"/>
  <c r="D358" i="9"/>
  <c r="F358" i="9" l="1"/>
  <c r="B359" i="9"/>
  <c r="E359" i="9" l="1"/>
  <c r="Y359" i="9"/>
  <c r="Y360" i="9" s="1"/>
  <c r="Y361" i="9" s="1"/>
  <c r="Y362" i="9" s="1"/>
  <c r="Y363" i="9" s="1"/>
  <c r="Y364" i="9" s="1"/>
  <c r="Y365" i="9" s="1"/>
  <c r="Y366" i="9" s="1"/>
  <c r="Y367" i="9" s="1"/>
  <c r="Y368" i="9" s="1"/>
  <c r="Y369" i="9" s="1"/>
  <c r="Y370" i="9" s="1"/>
  <c r="Y371" i="9" s="1"/>
  <c r="Y372" i="9" s="1"/>
  <c r="Y373" i="9" s="1"/>
  <c r="Y374" i="9" s="1"/>
  <c r="Y375" i="9" s="1"/>
  <c r="Y376" i="9" s="1"/>
  <c r="Y377" i="9" s="1"/>
  <c r="Y378" i="9" s="1"/>
  <c r="Y379" i="9" s="1"/>
  <c r="D359" i="9"/>
  <c r="F359" i="9" l="1"/>
  <c r="B360" i="9"/>
  <c r="E360" i="9" l="1"/>
  <c r="D360" i="9"/>
  <c r="F360" i="9" l="1"/>
  <c r="B361" i="9"/>
  <c r="E361" i="9" l="1"/>
  <c r="D361" i="9"/>
  <c r="B362" i="9" l="1"/>
  <c r="F361" i="9"/>
  <c r="D362" i="9" l="1"/>
  <c r="E362" i="9"/>
  <c r="B363" i="9" l="1"/>
  <c r="F362" i="9"/>
  <c r="E363" i="9" l="1"/>
  <c r="D363" i="9"/>
  <c r="B364" i="9" l="1"/>
  <c r="F363" i="9"/>
  <c r="E364" i="9" l="1"/>
  <c r="D364" i="9"/>
  <c r="X364" i="9"/>
  <c r="X365" i="9" s="1"/>
  <c r="X366" i="9" s="1"/>
  <c r="X367" i="9" s="1"/>
  <c r="X368" i="9" s="1"/>
  <c r="X369" i="9" s="1"/>
  <c r="X370" i="9" s="1"/>
  <c r="X371" i="9" s="1"/>
  <c r="X372" i="9" s="1"/>
  <c r="X373" i="9" s="1"/>
  <c r="X374" i="9" s="1"/>
  <c r="X375" i="9" s="1"/>
  <c r="X376" i="9" s="1"/>
  <c r="X377" i="9" s="1"/>
  <c r="X378" i="9" s="1"/>
  <c r="X379" i="9" s="1"/>
  <c r="X380" i="9" s="1"/>
  <c r="X381" i="9" s="1"/>
  <c r="X382" i="9" s="1"/>
  <c r="X383" i="9" s="1"/>
  <c r="X384" i="9" s="1"/>
  <c r="B365" i="9" l="1"/>
  <c r="F364" i="9"/>
  <c r="E365" i="9" l="1"/>
  <c r="D365" i="9"/>
  <c r="B366" i="9" l="1"/>
  <c r="F365" i="9"/>
  <c r="E366" i="9" l="1"/>
  <c r="D366" i="9"/>
  <c r="B367" i="9" l="1"/>
  <c r="F366" i="9"/>
  <c r="E367" i="9" l="1"/>
  <c r="D367" i="9"/>
  <c r="B368" i="9" l="1"/>
  <c r="F367" i="9"/>
  <c r="E368" i="9" l="1"/>
  <c r="D368" i="9"/>
  <c r="B369" i="9" l="1"/>
  <c r="F368" i="9"/>
  <c r="E369" i="9" l="1"/>
  <c r="D369" i="9"/>
  <c r="W369" i="9"/>
  <c r="W370" i="9" s="1"/>
  <c r="W371" i="9" s="1"/>
  <c r="W372" i="9" s="1"/>
  <c r="W373" i="9" s="1"/>
  <c r="W374" i="9" s="1"/>
  <c r="W375" i="9" s="1"/>
  <c r="W376" i="9" s="1"/>
  <c r="W377" i="9" s="1"/>
  <c r="W378" i="9" s="1"/>
  <c r="W379" i="9" s="1"/>
  <c r="W380" i="9" s="1"/>
  <c r="W381" i="9" s="1"/>
  <c r="W382" i="9" s="1"/>
  <c r="W383" i="9" s="1"/>
  <c r="W384" i="9" s="1"/>
  <c r="W385" i="9" s="1"/>
  <c r="W386" i="9" s="1"/>
  <c r="W387" i="9" s="1"/>
  <c r="W388" i="9" s="1"/>
  <c r="W389" i="9" s="1"/>
  <c r="B370" i="9" l="1"/>
  <c r="F369" i="9"/>
  <c r="E370" i="9" l="1"/>
  <c r="D370" i="9"/>
  <c r="B371" i="9" l="1"/>
  <c r="F370" i="9"/>
  <c r="E371" i="9" l="1"/>
  <c r="D371" i="9"/>
  <c r="B372" i="9" l="1"/>
  <c r="F371" i="9"/>
  <c r="E372" i="9" l="1"/>
  <c r="D372" i="9"/>
  <c r="B373" i="9" l="1"/>
  <c r="F372" i="9"/>
  <c r="E373" i="9" l="1"/>
  <c r="D373" i="9"/>
  <c r="B374" i="9" l="1"/>
  <c r="F373" i="9"/>
  <c r="V374" i="9" l="1"/>
  <c r="V375" i="9" s="1"/>
  <c r="V376" i="9" s="1"/>
  <c r="V377" i="9" s="1"/>
  <c r="V378" i="9" s="1"/>
  <c r="V379" i="9" s="1"/>
  <c r="V380" i="9" s="1"/>
  <c r="V381" i="9" s="1"/>
  <c r="V382" i="9" s="1"/>
  <c r="V383" i="9" s="1"/>
  <c r="V384" i="9" s="1"/>
  <c r="V385" i="9" s="1"/>
  <c r="E374" i="9"/>
  <c r="D374" i="9"/>
  <c r="V386" i="9" l="1"/>
  <c r="V387" i="9" s="1"/>
  <c r="V388" i="9" s="1"/>
  <c r="V389" i="9" s="1"/>
  <c r="V390" i="9" s="1"/>
  <c r="V391" i="9" s="1"/>
  <c r="V392" i="9" s="1"/>
  <c r="V393" i="9" s="1"/>
  <c r="V394" i="9" s="1"/>
  <c r="AD385" i="9"/>
  <c r="AD386" i="9" s="1"/>
  <c r="AD387" i="9" s="1"/>
  <c r="AD388" i="9" s="1"/>
  <c r="AD389" i="9" s="1"/>
  <c r="AD390" i="9" s="1"/>
  <c r="AD391" i="9" s="1"/>
  <c r="AD392" i="9" s="1"/>
  <c r="AD393" i="9" s="1"/>
  <c r="AD394" i="9" s="1"/>
  <c r="AD395" i="9" s="1"/>
  <c r="AD396" i="9" s="1"/>
  <c r="AD397" i="9" s="1"/>
  <c r="AD398" i="9" s="1"/>
  <c r="AD399" i="9" s="1"/>
  <c r="AD400" i="9" s="1"/>
  <c r="AD401" i="9" s="1"/>
  <c r="AD402" i="9" s="1"/>
  <c r="AD403" i="9" s="1"/>
  <c r="AD404" i="9" s="1"/>
  <c r="AD405" i="9" s="1"/>
  <c r="AD406" i="9" s="1"/>
  <c r="AD407" i="9" s="1"/>
  <c r="AD408" i="9" s="1"/>
  <c r="AD409" i="9" s="1"/>
  <c r="AD410" i="9" s="1"/>
  <c r="AD411" i="9" s="1"/>
  <c r="AD412" i="9" s="1"/>
  <c r="AD413" i="9" s="1"/>
  <c r="AD414" i="9" s="1"/>
  <c r="AD415" i="9" s="1"/>
  <c r="AD416" i="9" s="1"/>
  <c r="AD417" i="9" s="1"/>
  <c r="AD418" i="9" s="1"/>
  <c r="AD419" i="9" s="1"/>
  <c r="AD420" i="9" s="1"/>
  <c r="AD421" i="9" s="1"/>
  <c r="B375" i="9"/>
  <c r="F374" i="9"/>
  <c r="E375" i="9" l="1"/>
  <c r="D375" i="9"/>
  <c r="B376" i="9" l="1"/>
  <c r="F375" i="9"/>
  <c r="E376" i="9" l="1"/>
  <c r="D376" i="9"/>
  <c r="B377" i="9" l="1"/>
  <c r="F376" i="9"/>
  <c r="D377" i="9" l="1"/>
  <c r="E377" i="9"/>
  <c r="F377" i="9" l="1"/>
  <c r="B378" i="9"/>
  <c r="D378" i="9" l="1"/>
  <c r="E378" i="9"/>
  <c r="F378" i="9" l="1"/>
  <c r="B379" i="9"/>
  <c r="D379" i="9" l="1"/>
  <c r="E379" i="9"/>
  <c r="F379" i="9" l="1"/>
  <c r="B380" i="9"/>
  <c r="D380" i="9" l="1"/>
  <c r="Y380" i="9"/>
  <c r="Y381" i="9" s="1"/>
  <c r="Y382" i="9" s="1"/>
  <c r="Y383" i="9" s="1"/>
  <c r="Y384" i="9" s="1"/>
  <c r="Y385" i="9" s="1"/>
  <c r="Y386" i="9" s="1"/>
  <c r="Y387" i="9" s="1"/>
  <c r="Y388" i="9" s="1"/>
  <c r="Y389" i="9" s="1"/>
  <c r="Y390" i="9" s="1"/>
  <c r="Y391" i="9" s="1"/>
  <c r="Y392" i="9" s="1"/>
  <c r="Y393" i="9" s="1"/>
  <c r="Y394" i="9" s="1"/>
  <c r="Y395" i="9" s="1"/>
  <c r="Y396" i="9" s="1"/>
  <c r="Y397" i="9" s="1"/>
  <c r="Y398" i="9" s="1"/>
  <c r="Y399" i="9" s="1"/>
  <c r="Y400" i="9" s="1"/>
  <c r="Y401" i="9" s="1"/>
  <c r="Y402" i="9" s="1"/>
  <c r="Y403" i="9" s="1"/>
  <c r="Y404" i="9" s="1"/>
  <c r="Y405" i="9" s="1"/>
  <c r="Y406" i="9" s="1"/>
  <c r="Y407" i="9" s="1"/>
  <c r="Y408" i="9" s="1"/>
  <c r="Y409" i="9" s="1"/>
  <c r="Y410" i="9" s="1"/>
  <c r="Y411" i="9" s="1"/>
  <c r="Y412" i="9" s="1"/>
  <c r="Y413" i="9" s="1"/>
  <c r="Y414" i="9" s="1"/>
  <c r="Y415" i="9" s="1"/>
  <c r="Y416" i="9" s="1"/>
  <c r="Y417" i="9" s="1"/>
  <c r="Y418" i="9" s="1"/>
  <c r="Y419" i="9" s="1"/>
  <c r="Y420" i="9" s="1"/>
  <c r="Y421" i="9" s="1"/>
  <c r="E380" i="9"/>
  <c r="F380" i="9" l="1"/>
  <c r="B381" i="9"/>
  <c r="D381" i="9" l="1"/>
  <c r="E381" i="9"/>
  <c r="F381" i="9" l="1"/>
  <c r="B382" i="9"/>
  <c r="D382" i="9" l="1"/>
  <c r="E382" i="9"/>
  <c r="F382" i="9" l="1"/>
  <c r="B383" i="9"/>
  <c r="D383" i="9" l="1"/>
  <c r="E383" i="9"/>
  <c r="F383" i="9" l="1"/>
  <c r="B384" i="9"/>
  <c r="E384" i="9" l="1"/>
  <c r="D384" i="9"/>
  <c r="F384" i="9" l="1"/>
  <c r="B385" i="9"/>
  <c r="E385" i="9" l="1"/>
  <c r="D385" i="9"/>
  <c r="X385" i="9"/>
  <c r="X386" i="9" s="1"/>
  <c r="X387" i="9" s="1"/>
  <c r="X388" i="9" s="1"/>
  <c r="X389" i="9" s="1"/>
  <c r="X390" i="9" s="1"/>
  <c r="X391" i="9" s="1"/>
  <c r="X392" i="9" s="1"/>
  <c r="X393" i="9" s="1"/>
  <c r="X394" i="9" s="1"/>
  <c r="X395" i="9" s="1"/>
  <c r="X396" i="9" s="1"/>
  <c r="X397" i="9" s="1"/>
  <c r="X398" i="9" s="1"/>
  <c r="X399" i="9" s="1"/>
  <c r="X400" i="9" s="1"/>
  <c r="X401" i="9" s="1"/>
  <c r="X402" i="9" s="1"/>
  <c r="X403" i="9" s="1"/>
  <c r="X404" i="9" s="1"/>
  <c r="X405" i="9" s="1"/>
  <c r="X406" i="9" s="1"/>
  <c r="X407" i="9" s="1"/>
  <c r="X408" i="9" s="1"/>
  <c r="X409" i="9" s="1"/>
  <c r="X410" i="9" s="1"/>
  <c r="X411" i="9" s="1"/>
  <c r="X412" i="9" s="1"/>
  <c r="X413" i="9" s="1"/>
  <c r="X414" i="9" s="1"/>
  <c r="X415" i="9" s="1"/>
  <c r="X416" i="9" s="1"/>
  <c r="X417" i="9" s="1"/>
  <c r="X418" i="9" s="1"/>
  <c r="X419" i="9" s="1"/>
  <c r="X420" i="9" s="1"/>
  <c r="X421" i="9" s="1"/>
  <c r="F385" i="9" l="1"/>
  <c r="B386" i="9"/>
  <c r="E386" i="9" l="1"/>
  <c r="D386" i="9"/>
  <c r="F386" i="9" l="1"/>
  <c r="B387" i="9"/>
  <c r="E387" i="9" l="1"/>
  <c r="D387" i="9"/>
  <c r="F387" i="9" l="1"/>
  <c r="B388" i="9"/>
  <c r="E388" i="9" l="1"/>
  <c r="D388" i="9"/>
  <c r="F388" i="9" l="1"/>
  <c r="B389" i="9"/>
  <c r="E389" i="9" l="1"/>
  <c r="D389" i="9"/>
  <c r="F389" i="9" l="1"/>
  <c r="B390" i="9"/>
  <c r="W390" i="9" l="1"/>
  <c r="W391" i="9" s="1"/>
  <c r="W392" i="9" s="1"/>
  <c r="W393" i="9" s="1"/>
  <c r="W394" i="9" s="1"/>
  <c r="W395" i="9" s="1"/>
  <c r="W396" i="9" s="1"/>
  <c r="W397" i="9" s="1"/>
  <c r="W398" i="9" s="1"/>
  <c r="W399" i="9" s="1"/>
  <c r="W400" i="9" s="1"/>
  <c r="W401" i="9" s="1"/>
  <c r="W402" i="9" s="1"/>
  <c r="W403" i="9" s="1"/>
  <c r="W404" i="9" s="1"/>
  <c r="W405" i="9" s="1"/>
  <c r="W406" i="9" s="1"/>
  <c r="W407" i="9" s="1"/>
  <c r="W408" i="9" s="1"/>
  <c r="W409" i="9" s="1"/>
  <c r="W410" i="9" s="1"/>
  <c r="W411" i="9" s="1"/>
  <c r="W412" i="9" s="1"/>
  <c r="W413" i="9" s="1"/>
  <c r="W414" i="9" s="1"/>
  <c r="W415" i="9" s="1"/>
  <c r="W416" i="9" s="1"/>
  <c r="W417" i="9" s="1"/>
  <c r="W418" i="9" s="1"/>
  <c r="W419" i="9" s="1"/>
  <c r="W420" i="9" s="1"/>
  <c r="W421" i="9" s="1"/>
  <c r="E390" i="9"/>
  <c r="D390" i="9"/>
  <c r="F390" i="9" l="1"/>
  <c r="B391" i="9"/>
  <c r="E391" i="9" l="1"/>
  <c r="D391" i="9"/>
  <c r="F391" i="9" l="1"/>
  <c r="B392" i="9"/>
  <c r="E392" i="9" l="1"/>
  <c r="D392" i="9"/>
  <c r="F392" i="9" l="1"/>
  <c r="B393" i="9"/>
  <c r="E393" i="9" l="1"/>
  <c r="D393" i="9"/>
  <c r="F393" i="9" l="1"/>
  <c r="B394" i="9"/>
  <c r="E394" i="9" l="1"/>
  <c r="D394" i="9"/>
  <c r="F394" i="9" l="1"/>
  <c r="B395" i="9"/>
  <c r="V395" i="9" l="1"/>
  <c r="V396" i="9" s="1"/>
  <c r="V397" i="9" s="1"/>
  <c r="V398" i="9" s="1"/>
  <c r="V399" i="9" s="1"/>
  <c r="V400" i="9" s="1"/>
  <c r="V401" i="9" s="1"/>
  <c r="V402" i="9" s="1"/>
  <c r="V403" i="9" s="1"/>
  <c r="V404" i="9" s="1"/>
  <c r="V405" i="9" s="1"/>
  <c r="V406" i="9" s="1"/>
  <c r="E395" i="9"/>
  <c r="D395" i="9"/>
  <c r="V407" i="9" l="1"/>
  <c r="V408" i="9" s="1"/>
  <c r="V409" i="9" s="1"/>
  <c r="AF406" i="9"/>
  <c r="AF407" i="9" s="1"/>
  <c r="AF408" i="9" s="1"/>
  <c r="AF409" i="9" s="1"/>
  <c r="AF410" i="9" s="1"/>
  <c r="AF411" i="9" s="1"/>
  <c r="AF412" i="9" s="1"/>
  <c r="AF413" i="9" s="1"/>
  <c r="AF414" i="9" s="1"/>
  <c r="AF415" i="9" s="1"/>
  <c r="AF416" i="9" s="1"/>
  <c r="AF417" i="9" s="1"/>
  <c r="AF418" i="9" s="1"/>
  <c r="AF419" i="9" s="1"/>
  <c r="AF420" i="9" s="1"/>
  <c r="AF421" i="9" s="1"/>
  <c r="F395" i="9"/>
  <c r="B396" i="9"/>
  <c r="V410" i="9" l="1"/>
  <c r="V411" i="9" s="1"/>
  <c r="V412" i="9" s="1"/>
  <c r="V413" i="9" s="1"/>
  <c r="V414" i="9" s="1"/>
  <c r="V415" i="9" s="1"/>
  <c r="V416" i="9" s="1"/>
  <c r="V417" i="9" s="1"/>
  <c r="V418" i="9" s="1"/>
  <c r="V419" i="9" s="1"/>
  <c r="V420" i="9" s="1"/>
  <c r="V421" i="9" s="1"/>
  <c r="E396" i="9"/>
  <c r="D396" i="9"/>
  <c r="B397" i="9" l="1"/>
  <c r="F396" i="9"/>
  <c r="E397" i="9" l="1"/>
  <c r="D397" i="9"/>
  <c r="B398" i="9" l="1"/>
  <c r="F397" i="9"/>
  <c r="E398" i="9" l="1"/>
  <c r="D398" i="9"/>
  <c r="B399" i="9" l="1"/>
  <c r="F398" i="9"/>
  <c r="E399" i="9" l="1"/>
  <c r="D399" i="9"/>
  <c r="B400" i="9" l="1"/>
  <c r="F399" i="9"/>
  <c r="E400" i="9" l="1"/>
  <c r="D400" i="9"/>
  <c r="B401" i="9" l="1"/>
  <c r="F400" i="9"/>
  <c r="E401" i="9" l="1"/>
  <c r="D401" i="9"/>
  <c r="B402" i="9" l="1"/>
  <c r="F401" i="9"/>
  <c r="E402" i="9" l="1"/>
  <c r="D402" i="9"/>
  <c r="B403" i="9" l="1"/>
  <c r="F402" i="9"/>
  <c r="E403" i="9" l="1"/>
  <c r="D403" i="9"/>
  <c r="B404" i="9" l="1"/>
  <c r="F403" i="9"/>
  <c r="D404" i="9" l="1"/>
  <c r="E404" i="9"/>
  <c r="B405" i="9" l="1"/>
  <c r="F404" i="9"/>
  <c r="D405" i="9" l="1"/>
  <c r="E405" i="9"/>
  <c r="B406" i="9" l="1"/>
  <c r="F405" i="9"/>
  <c r="D406" i="9" l="1"/>
  <c r="E406" i="9"/>
  <c r="B407" i="9" l="1"/>
  <c r="F406" i="9"/>
  <c r="D407" i="9" l="1"/>
  <c r="E407" i="9"/>
  <c r="B408" i="9" l="1"/>
  <c r="F407" i="9"/>
  <c r="D408" i="9" l="1"/>
  <c r="E408" i="9"/>
  <c r="B409" i="9" l="1"/>
  <c r="F408" i="9"/>
  <c r="D409" i="9" l="1"/>
  <c r="E409" i="9"/>
  <c r="B410" i="9" l="1"/>
  <c r="F409" i="9"/>
  <c r="E410" i="9" l="1"/>
  <c r="D410" i="9"/>
  <c r="B411" i="9" l="1"/>
  <c r="F410" i="9"/>
  <c r="E411" i="9" l="1"/>
  <c r="D411" i="9"/>
  <c r="B412" i="9" l="1"/>
  <c r="F411" i="9"/>
  <c r="E412" i="9" l="1"/>
  <c r="D412" i="9"/>
  <c r="F412" i="9" l="1"/>
  <c r="B413" i="9"/>
  <c r="E413" i="9" l="1"/>
  <c r="D413" i="9"/>
  <c r="F413" i="9" l="1"/>
  <c r="B414" i="9"/>
  <c r="E414" i="9" l="1"/>
  <c r="D414" i="9"/>
  <c r="F414" i="9" l="1"/>
  <c r="B415" i="9"/>
  <c r="E415" i="9" l="1"/>
  <c r="D415" i="9"/>
  <c r="F415" i="9" l="1"/>
  <c r="B416" i="9"/>
  <c r="E416" i="9" l="1"/>
  <c r="D416" i="9"/>
  <c r="F416" i="9" l="1"/>
  <c r="B417" i="9"/>
  <c r="E417" i="9" l="1"/>
  <c r="D417" i="9"/>
  <c r="F417" i="9" l="1"/>
  <c r="B418" i="9"/>
  <c r="E418" i="9" l="1"/>
  <c r="D418" i="9"/>
  <c r="F418" i="9" l="1"/>
  <c r="B419" i="9"/>
  <c r="E419" i="9" l="1"/>
  <c r="D419" i="9"/>
  <c r="F419" i="9" l="1"/>
  <c r="B420" i="9"/>
  <c r="E420" i="9" l="1"/>
  <c r="D420" i="9"/>
  <c r="F420" i="9" l="1"/>
  <c r="B421" i="9"/>
  <c r="E421" i="9" l="1"/>
  <c r="D421" i="9"/>
  <c r="F421" i="9" s="1"/>
  <c r="BS118" i="9" l="1"/>
  <c r="BY118" i="9" s="1"/>
  <c r="BZ118" i="9" s="1"/>
  <c r="BZ119" i="9" s="1"/>
  <c r="BZ120" i="9" s="1"/>
  <c r="BZ121" i="9" s="1"/>
  <c r="CB121" i="9" s="1"/>
  <c r="CE114" i="9" s="1"/>
  <c r="BS145" i="9"/>
  <c r="BY145" i="9" s="1"/>
  <c r="BZ145" i="9" s="1"/>
  <c r="BZ146" i="9" s="1"/>
  <c r="BZ147" i="9" s="1"/>
  <c r="CB147" i="9" s="1"/>
  <c r="CE120" i="9" s="1"/>
  <c r="BM107" i="9"/>
  <c r="BY107" i="9" s="1"/>
  <c r="BZ107" i="9" s="1"/>
  <c r="BZ108" i="9" s="1"/>
  <c r="CB108" i="9" s="1"/>
  <c r="BM111" i="9"/>
  <c r="BY111" i="9" s="1"/>
  <c r="BZ111" i="9" s="1"/>
  <c r="BZ112" i="9" s="1"/>
  <c r="CB112" i="9" s="1"/>
  <c r="CE112" i="9" s="1"/>
  <c r="BM115" i="9"/>
  <c r="BY115" i="9" s="1"/>
  <c r="BZ115" i="9" s="1"/>
  <c r="BZ116" i="9" s="1"/>
  <c r="CB116" i="9" s="1"/>
  <c r="CE113" i="9" s="1"/>
  <c r="BM126" i="9"/>
  <c r="BY126" i="9" s="1"/>
  <c r="BZ126" i="9" s="1"/>
  <c r="BZ127" i="9" s="1"/>
  <c r="BZ128" i="9" s="1"/>
  <c r="BZ129" i="9" s="1"/>
  <c r="CB129" i="9" s="1"/>
  <c r="CE116" i="9" s="1"/>
  <c r="BM130" i="9"/>
  <c r="BY130" i="9" s="1"/>
  <c r="BZ130" i="9" s="1"/>
  <c r="BZ131" i="9" s="1"/>
  <c r="BZ132" i="9" s="1"/>
  <c r="BZ133" i="9" s="1"/>
  <c r="BM134" i="9"/>
  <c r="BY134" i="9" s="1"/>
  <c r="BM138" i="9"/>
  <c r="BY138" i="9" s="1"/>
  <c r="BZ138" i="9" s="1"/>
  <c r="CB138" i="9" s="1"/>
  <c r="CE118" i="9" s="1"/>
  <c r="BM142" i="9"/>
  <c r="BY142" i="9" s="1"/>
  <c r="BZ142" i="9" s="1"/>
  <c r="BZ143" i="9" s="1"/>
  <c r="CB143" i="9" s="1"/>
  <c r="CE119" i="9" s="1"/>
  <c r="BM153" i="9"/>
  <c r="BY153" i="9" s="1"/>
  <c r="BZ153" i="9" s="1"/>
  <c r="BZ154" i="9" s="1"/>
  <c r="BZ155" i="9" s="1"/>
  <c r="BZ156" i="9" s="1"/>
  <c r="CB156" i="9" s="1"/>
  <c r="CE122" i="9" s="1"/>
  <c r="BM157" i="9"/>
  <c r="BY157" i="9" s="1"/>
  <c r="BZ157" i="9" s="1"/>
  <c r="BZ158" i="9" s="1"/>
  <c r="BZ159" i="9" s="1"/>
  <c r="CE123" i="9" s="1"/>
  <c r="BZ160" i="9" l="1"/>
  <c r="CB160" i="9" s="1"/>
  <c r="BZ134" i="9"/>
  <c r="CB134" i="9" s="1"/>
  <c r="CE117" i="9" s="1"/>
  <c r="CE124" i="9" s="1"/>
</calcChain>
</file>

<file path=xl/sharedStrings.xml><?xml version="1.0" encoding="utf-8"?>
<sst xmlns="http://schemas.openxmlformats.org/spreadsheetml/2006/main" count="474" uniqueCount="41">
  <si>
    <t>Dia do Aloj.</t>
  </si>
  <si>
    <t>a</t>
  </si>
  <si>
    <t>Semana</t>
  </si>
  <si>
    <t>Mês</t>
  </si>
  <si>
    <t>Ano</t>
  </si>
  <si>
    <t>R1</t>
  </si>
  <si>
    <t>R2</t>
  </si>
  <si>
    <t>R3</t>
  </si>
  <si>
    <t>R4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</si>
  <si>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</si>
  <si>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</si>
  <si>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</si>
  <si>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</si>
  <si>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</si>
  <si>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</si>
  <si>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</si>
  <si>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</si>
  <si>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</si>
  <si>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</si>
  <si>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</si>
  <si>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</si>
  <si>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</t>
  </si>
  <si>
    <t>Fat Recria</t>
  </si>
  <si>
    <t>Data</t>
  </si>
  <si>
    <t>Rótulos de Linha</t>
  </si>
  <si>
    <t>Total Geral</t>
  </si>
  <si>
    <t>Soma de Fat Recria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</si>
  <si>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</si>
  <si>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</si>
  <si>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</si>
  <si>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</si>
  <si>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</si>
  <si>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</si>
  <si>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</si>
  <si>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</si>
  <si>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</si>
  <si>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</si>
  <si>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</si>
  <si>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</si>
  <si>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2022</t>
  </si>
  <si>
    <t>Emissão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</si>
</sst>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dd"/>
    <numFmt numFmtId="166" formatCode="_-[$R$-416]\ * #,##0.00_-;\-[$R$-416]\ * #,##0.00_-;_-[$R$-416]\ * &quot;-&quot;??_-;_-@_-"/>
    <numFmt numFmtId="167" formatCode="_(* #,##0_);_(* \(#,##0\);_(* &quot;-&quot;??_);_(@_)"/>
    <numFmt numFmtId="168" formatCode="_-&quot;R$&quot;\ * #,##0_-;\-&quot;R$&quot;\ * #,##0_-;_-&quot;R$&quot;\ * &quot;-&quot;??_-;_-@_-"/>
    <numFmt numFmtId="169" formatCode="_-* #,##0_-;\-* #,##0_-;_-* &quot;-&quot;??_-;_-@_-"/>
    <numFmt numFmtId="171" formatCode="dd/mm/yy;@"/>
  </numFmts>
  <fonts count="16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8" tint="-0.249977111117893"/>
      <name val="Arial"/>
      <family val="2"/>
    </font>
    <font>
      <sz val="10"/>
      <color theme="9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2"/>
      <color rgb="FF006100"/>
      <name val="Calibri"/>
      <family val="2"/>
      <scheme val="minor"/>
    </font>
    <font>
      <sz val="10"/>
      <name val="Arial"/>
      <family val="2"/>
    </font>
    <font>
      <sz val="10"/>
      <color theme="0" tint="-0.249977111117893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59996337778862885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5" tint="0.39994506668294322"/>
      </bottom>
      <diagonal/>
    </border>
    <border>
      <left/>
      <right/>
      <top style="thin">
        <color theme="0" tint="-0.24994659260841701"/>
      </top>
      <bottom style="thin">
        <color theme="5" tint="0.39994506668294322"/>
      </bottom>
      <diagonal/>
    </border>
    <border>
      <left/>
      <right style="thin">
        <color theme="0" tint="-0.34998626667073579"/>
      </right>
      <top style="thin">
        <color theme="0" tint="-0.24994659260841701"/>
      </top>
      <bottom style="thin">
        <color theme="5" tint="0.399945066682943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0" borderId="0"/>
    <xf numFmtId="166" fontId="4" fillId="2" borderId="0" applyNumberFormat="0" applyBorder="0" applyAlignment="0" applyProtection="0"/>
    <xf numFmtId="166" fontId="5" fillId="4" borderId="0" applyNumberFormat="0" applyBorder="0" applyAlignment="0" applyProtection="0"/>
    <xf numFmtId="0" fontId="12" fillId="7" borderId="0" applyNumberFormat="0" applyBorder="0" applyAlignment="0" applyProtection="0"/>
    <xf numFmtId="44" fontId="13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65" fontId="7" fillId="0" borderId="2" xfId="3" applyNumberFormat="1" applyFont="1" applyFill="1" applyBorder="1"/>
    <xf numFmtId="0" fontId="8" fillId="6" borderId="3" xfId="3" applyFont="1" applyFill="1" applyBorder="1" applyAlignment="1">
      <alignment horizontal="center"/>
    </xf>
    <xf numFmtId="167" fontId="7" fillId="0" borderId="4" xfId="1" applyNumberFormat="1" applyFont="1" applyFill="1" applyBorder="1" applyAlignment="1">
      <alignment horizontal="center" vertical="center"/>
    </xf>
    <xf numFmtId="0" fontId="9" fillId="5" borderId="5" xfId="3" applyFont="1" applyFill="1" applyBorder="1" applyAlignment="1">
      <alignment horizontal="center" vertical="center"/>
    </xf>
    <xf numFmtId="167" fontId="6" fillId="0" borderId="4" xfId="1" applyNumberFormat="1" applyFont="1" applyFill="1" applyBorder="1" applyAlignment="1">
      <alignment horizontal="center" vertical="center"/>
    </xf>
    <xf numFmtId="165" fontId="10" fillId="0" borderId="2" xfId="3" applyNumberFormat="1" applyFont="1" applyFill="1" applyBorder="1"/>
    <xf numFmtId="0" fontId="8" fillId="0" borderId="0" xfId="0" applyFont="1"/>
    <xf numFmtId="167" fontId="8" fillId="6" borderId="3" xfId="1" applyNumberFormat="1" applyFont="1" applyFill="1" applyBorder="1" applyAlignment="1">
      <alignment horizontal="center"/>
    </xf>
    <xf numFmtId="167" fontId="10" fillId="0" borderId="2" xfId="1" applyNumberFormat="1" applyFont="1" applyFill="1" applyBorder="1"/>
    <xf numFmtId="167" fontId="8" fillId="0" borderId="0" xfId="1" applyNumberFormat="1" applyFont="1"/>
    <xf numFmtId="165" fontId="10" fillId="0" borderId="9" xfId="3" applyNumberFormat="1" applyFont="1" applyFill="1" applyBorder="1"/>
    <xf numFmtId="165" fontId="11" fillId="0" borderId="10" xfId="3" applyNumberFormat="1" applyFont="1" applyBorder="1"/>
    <xf numFmtId="165" fontId="11" fillId="0" borderId="12" xfId="3" applyNumberFormat="1" applyFont="1" applyBorder="1"/>
    <xf numFmtId="165" fontId="11" fillId="0" borderId="13" xfId="3" applyNumberFormat="1" applyFont="1" applyBorder="1"/>
    <xf numFmtId="0" fontId="11" fillId="0" borderId="11" xfId="3" applyFont="1" applyBorder="1" applyAlignment="1">
      <alignment horizontal="center"/>
    </xf>
    <xf numFmtId="0" fontId="11" fillId="0" borderId="11" xfId="2" applyFont="1" applyFill="1" applyBorder="1"/>
    <xf numFmtId="165" fontId="5" fillId="0" borderId="2" xfId="3" applyNumberFormat="1" applyFont="1" applyFill="1" applyBorder="1"/>
    <xf numFmtId="0" fontId="12" fillId="7" borderId="0" xfId="6" applyAlignment="1">
      <alignment horizontal="center" vertical="center"/>
    </xf>
    <xf numFmtId="167" fontId="0" fillId="0" borderId="0" xfId="1" applyNumberFormat="1" applyFont="1"/>
    <xf numFmtId="164" fontId="0" fillId="0" borderId="0" xfId="1" applyNumberFormat="1" applyFont="1"/>
    <xf numFmtId="0" fontId="0" fillId="8" borderId="0" xfId="0" applyFill="1"/>
    <xf numFmtId="165" fontId="11" fillId="8" borderId="12" xfId="3" applyNumberFormat="1" applyFont="1" applyFill="1" applyBorder="1"/>
    <xf numFmtId="165" fontId="11" fillId="8" borderId="10" xfId="3" applyNumberFormat="1" applyFont="1" applyFill="1" applyBorder="1"/>
    <xf numFmtId="165" fontId="11" fillId="8" borderId="13" xfId="3" applyNumberFormat="1" applyFont="1" applyFill="1" applyBorder="1"/>
    <xf numFmtId="0" fontId="11" fillId="8" borderId="11" xfId="3" applyFont="1" applyFill="1" applyBorder="1" applyAlignment="1">
      <alignment horizontal="center"/>
    </xf>
    <xf numFmtId="0" fontId="11" fillId="8" borderId="11" xfId="2" applyFont="1" applyFill="1" applyBorder="1"/>
    <xf numFmtId="165" fontId="10" fillId="8" borderId="2" xfId="3" applyNumberFormat="1" applyFont="1" applyFill="1" applyBorder="1"/>
    <xf numFmtId="167" fontId="6" fillId="8" borderId="4" xfId="1" applyNumberFormat="1" applyFont="1" applyFill="1" applyBorder="1" applyAlignment="1">
      <alignment horizontal="center" vertical="center"/>
    </xf>
    <xf numFmtId="167" fontId="10" fillId="8" borderId="2" xfId="1" applyNumberFormat="1" applyFont="1" applyFill="1" applyBorder="1"/>
    <xf numFmtId="167" fontId="8" fillId="8" borderId="0" xfId="1" applyNumberFormat="1" applyFont="1" applyFill="1"/>
    <xf numFmtId="165" fontId="5" fillId="8" borderId="2" xfId="3" applyNumberFormat="1" applyFont="1" applyFill="1" applyBorder="1"/>
    <xf numFmtId="167" fontId="7" fillId="8" borderId="1" xfId="1" applyNumberFormat="1" applyFont="1" applyFill="1" applyBorder="1" applyAlignment="1">
      <alignment horizontal="center" vertical="center"/>
    </xf>
    <xf numFmtId="168" fontId="0" fillId="0" borderId="0" xfId="7" applyNumberFormat="1" applyFont="1"/>
    <xf numFmtId="0" fontId="0" fillId="9" borderId="0" xfId="0" applyFill="1"/>
    <xf numFmtId="169" fontId="0" fillId="9" borderId="0" xfId="1" applyNumberFormat="1" applyFont="1" applyFill="1"/>
    <xf numFmtId="169" fontId="0" fillId="0" borderId="0" xfId="0" applyNumberFormat="1"/>
    <xf numFmtId="165" fontId="11" fillId="0" borderId="12" xfId="3" applyNumberFormat="1" applyFont="1" applyFill="1" applyBorder="1"/>
    <xf numFmtId="165" fontId="11" fillId="0" borderId="10" xfId="3" applyNumberFormat="1" applyFont="1" applyFill="1" applyBorder="1"/>
    <xf numFmtId="165" fontId="11" fillId="0" borderId="13" xfId="3" applyNumberFormat="1" applyFont="1" applyFill="1" applyBorder="1"/>
    <xf numFmtId="0" fontId="11" fillId="0" borderId="11" xfId="3" applyFont="1" applyFill="1" applyBorder="1" applyAlignment="1">
      <alignment horizontal="center"/>
    </xf>
    <xf numFmtId="167" fontId="8" fillId="0" borderId="0" xfId="1" applyNumberFormat="1" applyFont="1" applyFill="1"/>
    <xf numFmtId="169" fontId="14" fillId="0" borderId="0" xfId="1" applyNumberFormat="1" applyFont="1"/>
    <xf numFmtId="0" fontId="14" fillId="0" borderId="0" xfId="0" applyFont="1"/>
    <xf numFmtId="168" fontId="14" fillId="0" borderId="0" xfId="7" applyNumberFormat="1" applyFont="1"/>
    <xf numFmtId="165" fontId="11" fillId="0" borderId="14" xfId="3" applyNumberFormat="1" applyFont="1" applyBorder="1" applyAlignment="1">
      <alignment horizontal="center"/>
    </xf>
    <xf numFmtId="165" fontId="11" fillId="0" borderId="15" xfId="3" applyNumberFormat="1" applyFont="1" applyBorder="1" applyAlignment="1">
      <alignment horizontal="center"/>
    </xf>
    <xf numFmtId="165" fontId="11" fillId="0" borderId="16" xfId="3" applyNumberFormat="1" applyFont="1" applyBorder="1" applyAlignment="1">
      <alignment horizontal="center"/>
    </xf>
    <xf numFmtId="0" fontId="8" fillId="6" borderId="6" xfId="3" applyFont="1" applyFill="1" applyBorder="1" applyAlignment="1">
      <alignment horizontal="center"/>
    </xf>
    <xf numFmtId="0" fontId="8" fillId="6" borderId="7" xfId="3" applyFont="1" applyFill="1" applyBorder="1" applyAlignment="1">
      <alignment horizontal="center"/>
    </xf>
    <xf numFmtId="0" fontId="8" fillId="6" borderId="8" xfId="3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71" fontId="14" fillId="0" borderId="0" xfId="1" applyNumberFormat="1" applyFont="1"/>
    <xf numFmtId="0" fontId="0" fillId="0" borderId="0" xfId="0" applyAlignment="1">
      <alignment horizontal="left" indent="1"/>
    </xf>
    <xf numFmtId="168" fontId="0" fillId="0" borderId="0" xfId="0" applyNumberFormat="1"/>
    <xf numFmtId="0" fontId="15" fillId="9" borderId="0" xfId="0" applyFont="1" applyFill="1"/>
  </cellXfs>
  <cellStyles count="8">
    <cellStyle name="Bom" xfId="6" builtinId="26"/>
    <cellStyle name="Ênfase3 2 3" xfId="5" xr:uid="{C418FBC5-4151-9F41-9331-2BE44CAD7E47}"/>
    <cellStyle name="Incorreto 2 3" xfId="4" xr:uid="{80B474D0-869C-DA44-A8D2-29FC33B3F4BB}"/>
    <cellStyle name="Moeda" xfId="7" builtinId="4"/>
    <cellStyle name="Neutro" xfId="2" builtinId="28"/>
    <cellStyle name="Normal" xfId="0" builtinId="0"/>
    <cellStyle name="Normal 2 3 2 4" xfId="3" xr:uid="{AE8859A0-51C7-D649-B72B-36DCA78B8ECD}"/>
    <cellStyle name="Vírgula" xfId="1" builtinId="3"/>
  </cellStyles>
  <dxfs count="8">
    <dxf>
      <numFmt numFmtId="168" formatCode="_-&quot;R$&quot;\ * #,##0_-;\-&quot;R$&quot;\ * #,##0_-;_-&quot;R$&quot;\ * &quot;-&quot;??_-;_-@_-"/>
    </dxf>
    <dxf>
      <numFmt numFmtId="168" formatCode="_-&quot;R$&quot;\ * #,##0_-;\-&quot;R$&quot;\ * #,##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P:\WINDOWS\TEMP\file:\P:\GEPRO\Qualidade\ISO%209001\Formul&#225;rios\Form%20E10-E%20-%20Planilha%20de%20Analise%20CREGE%20-%20For&#231;a%20Tarefa%20-%20Implanta&#231;&#227;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Ntbrulasap01\shpubavosmat\PADR&#213;ES%20DE%20PROCESS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bermartins/Library/Containers/com.microsoft.Excel/Data/Documents/NTBRULASAP01\SHPUBSUINOS\U_G_B\Ger_Rotina\Brauli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PROFISSIONAL/Faria/ADM/Financeiro/Metas/2022/3%20Faturamento/Sa&#771;o%20Joa&#771;o%20-%20Meta%20-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 Dados - Relatóri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P crerscimen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s 2022 P"/>
      <sheetName val="Metas 2022 R"/>
      <sheetName val="Resumo"/>
      <sheetName val="R$"/>
    </sheetNames>
    <sheetDataSet>
      <sheetData sheetId="0" refreshError="1"/>
      <sheetData sheetId="1" refreshError="1"/>
      <sheetData sheetId="2" refreshError="1"/>
      <sheetData sheetId="3">
        <row r="27">
          <cell r="F27">
            <v>161491.14583333334</v>
          </cell>
        </row>
        <row r="28">
          <cell r="F28">
            <v>651525.49583333335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eber Souza Martins" refreshedDate="44486.444529745371" createdVersion="7" refreshedVersion="7" minRefreshableVersion="3" recordCount="421" xr:uid="{5E19289F-6E14-D147-9AE2-7AFC85FFBB8E}">
  <cacheSource type="worksheet">
    <worksheetSource ref="CA2:CB1048576" sheet="Simulador"/>
  </cacheSource>
  <cacheFields count="4">
    <cacheField name="Data" numFmtId="0">
      <sharedItems containsNonDate="0" containsDate="1" containsString="0" containsBlank="1" minDate="2019-12-23T00:00:00" maxDate="2023-12-26T00:00:00" count="211">
        <m/>
        <d v="2019-12-23T00:00:00"/>
        <d v="2019-12-30T00:00:00"/>
        <d v="2020-01-06T00:00:00"/>
        <d v="2020-01-13T00:00:00"/>
        <d v="2020-01-20T00:00:00"/>
        <d v="2020-01-27T00:00:00"/>
        <d v="2020-02-03T00:00:00"/>
        <d v="2020-02-10T00:00:00"/>
        <d v="2020-02-17T00:00:00"/>
        <d v="2020-02-24T00:00:00"/>
        <d v="2020-03-02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8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3T00:00:00"/>
        <d v="2020-08-10T00:00:00"/>
        <d v="2020-08-17T00:00:00"/>
        <d v="2020-08-24T00:00:00"/>
        <d v="2020-08-31T00:00:00"/>
        <d v="2020-09-07T00:00:00"/>
        <d v="2020-09-14T00:00:00"/>
        <d v="2020-09-21T00:00:00"/>
        <d v="2020-09-28T00:00:00"/>
        <d v="2020-10-05T00:00:00"/>
        <d v="2020-10-12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8T00:00:00"/>
        <d v="2021-01-04T00:00:00"/>
        <d v="2021-01-11T00:00:00"/>
        <d v="2021-01-18T00:00:00"/>
        <d v="2021-01-25T00:00:00"/>
        <d v="2021-02-01T00:00:00"/>
        <d v="2021-02-08T00:00:00"/>
        <d v="2021-02-15T00:00:00"/>
        <d v="2021-02-22T00:00:00"/>
        <d v="2021-03-01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4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2T00:00:00"/>
        <d v="2021-08-09T00:00:00"/>
        <d v="2021-08-16T00:00:00"/>
        <d v="2021-08-23T00:00:00"/>
        <d v="2021-08-30T00:00:00"/>
        <d v="2021-09-06T00:00:00"/>
        <d v="2021-09-13T00:00:00"/>
        <d v="2021-09-20T00:00:00"/>
        <d v="2021-09-27T00:00:00"/>
        <d v="2021-10-04T00:00:00"/>
        <d v="2021-10-11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7T00:00:00"/>
        <d v="2022-01-03T00:00:00"/>
        <d v="2022-01-10T00:00:00"/>
        <d v="2022-01-17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6T00:00:00"/>
        <d v="2023-01-02T00:00:00"/>
        <d v="2023-01-09T00:00:00"/>
        <d v="2023-01-16T00:00:00"/>
        <d v="2023-01-23T00:00:00"/>
        <d v="2023-01-30T00:00:00"/>
        <d v="2023-02-06T00:00:00"/>
        <d v="2023-02-13T00:00:00"/>
        <d v="2023-02-20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2T00:00:00"/>
        <d v="2023-05-29T00:00:00"/>
        <d v="2023-06-05T00:00:00"/>
        <d v="2023-06-12T00:00:00"/>
        <d v="2023-06-19T00:00:00"/>
        <d v="2023-06-26T00:00:00"/>
        <d v="2023-07-03T00:00:00"/>
        <d v="2023-07-10T00:00:00"/>
        <d v="2023-07-17T00:00:00"/>
        <d v="2023-07-24T00:00:00"/>
        <d v="2023-07-31T00:00:00"/>
        <d v="2023-08-07T00:00:00"/>
        <d v="2023-08-14T00:00:00"/>
        <d v="2023-08-21T00:00:00"/>
        <d v="2023-08-28T00:00:00"/>
        <d v="2023-09-04T00:00:00"/>
        <d v="2023-09-11T00:00:00"/>
        <d v="2023-09-18T00:00:00"/>
        <d v="2023-09-25T00:00:00"/>
        <d v="2023-10-02T00:00:00"/>
        <d v="2023-10-09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5T00:00:00"/>
      </sharedItems>
      <fieldGroup par="3" base="0">
        <rangePr groupBy="months" startDate="2019-12-23T00:00:00" endDate="2023-12-26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12/2023"/>
        </groupItems>
      </fieldGroup>
    </cacheField>
    <cacheField name="Fat Recria" numFmtId="0">
      <sharedItems containsString="0" containsBlank="1" containsNumber="1" minValue="0" maxValue="813016.64166666672"/>
    </cacheField>
    <cacheField name="Trimestres" numFmtId="0" databaseField="0">
      <fieldGroup base="0">
        <rangePr groupBy="quarters" startDate="2019-12-23T00:00:00" endDate="2023-12-26T00:00:00"/>
        <groupItems count="6">
          <s v="&lt;23/12/2019"/>
          <s v="Trim1"/>
          <s v="Trim2"/>
          <s v="Trim3"/>
          <s v="Trim4"/>
          <s v="&gt;26/12/2023"/>
        </groupItems>
      </fieldGroup>
    </cacheField>
    <cacheField name="Anos" numFmtId="0" databaseField="0">
      <fieldGroup base="0">
        <rangePr groupBy="years" startDate="2019-12-23T00:00:00" endDate="2023-12-26T00:00:00"/>
        <groupItems count="7">
          <s v="&lt;23/12/2019"/>
          <s v="2019"/>
          <s v="2020"/>
          <s v="2021"/>
          <s v="2022"/>
          <s v="2023"/>
          <s v="&gt;26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1"/>
    <n v="0"/>
  </r>
  <r>
    <x v="2"/>
    <n v="161491.14583333334"/>
  </r>
  <r>
    <x v="3"/>
    <n v="0"/>
  </r>
  <r>
    <x v="4"/>
    <n v="0"/>
  </r>
  <r>
    <x v="5"/>
    <n v="0"/>
  </r>
  <r>
    <x v="6"/>
    <n v="161491.14583333334"/>
  </r>
  <r>
    <x v="7"/>
    <n v="0"/>
  </r>
  <r>
    <x v="8"/>
    <n v="0"/>
  </r>
  <r>
    <x v="9"/>
    <n v="0"/>
  </r>
  <r>
    <x v="10"/>
    <n v="161491.14583333334"/>
  </r>
  <r>
    <x v="11"/>
    <n v="0"/>
  </r>
  <r>
    <x v="12"/>
    <n v="0"/>
  </r>
  <r>
    <x v="13"/>
    <n v="0"/>
  </r>
  <r>
    <x v="14"/>
    <n v="0"/>
  </r>
  <r>
    <x v="15"/>
    <n v="651525.49583333335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161491.14583333334"/>
  </r>
  <r>
    <x v="24"/>
    <n v="0"/>
  </r>
  <r>
    <x v="25"/>
    <n v="0"/>
  </r>
  <r>
    <x v="26"/>
    <n v="0"/>
  </r>
  <r>
    <x v="27"/>
    <n v="0"/>
  </r>
  <r>
    <x v="28"/>
    <n v="161491.14583333334"/>
  </r>
  <r>
    <x v="29"/>
    <n v="0"/>
  </r>
  <r>
    <x v="30"/>
    <n v="0"/>
  </r>
  <r>
    <x v="31"/>
    <n v="0"/>
  </r>
  <r>
    <x v="32"/>
    <n v="161491.14583333334"/>
  </r>
  <r>
    <x v="33"/>
    <n v="0"/>
  </r>
  <r>
    <x v="34"/>
    <n v="0"/>
  </r>
  <r>
    <x v="35"/>
    <n v="0"/>
  </r>
  <r>
    <x v="36"/>
    <n v="0"/>
  </r>
  <r>
    <x v="37"/>
    <n v="161491.14583333334"/>
  </r>
  <r>
    <x v="38"/>
    <n v="0"/>
  </r>
  <r>
    <x v="39"/>
    <n v="0"/>
  </r>
  <r>
    <x v="40"/>
    <n v="0"/>
  </r>
  <r>
    <x v="41"/>
    <n v="161491.14583333334"/>
  </r>
  <r>
    <x v="42"/>
    <n v="0"/>
  </r>
  <r>
    <x v="43"/>
    <n v="0"/>
  </r>
  <r>
    <x v="44"/>
    <n v="0"/>
  </r>
  <r>
    <x v="45"/>
    <n v="651525.49583333335"/>
  </r>
  <r>
    <x v="46"/>
    <n v="0"/>
  </r>
  <r>
    <x v="47"/>
    <n v="0"/>
  </r>
  <r>
    <x v="48"/>
    <n v="0"/>
  </r>
  <r>
    <x v="49"/>
    <n v="0"/>
  </r>
  <r>
    <x v="50"/>
    <n v="161491.14583333334"/>
  </r>
  <r>
    <x v="51"/>
    <n v="0"/>
  </r>
  <r>
    <x v="52"/>
    <n v="0"/>
  </r>
  <r>
    <x v="53"/>
    <n v="0"/>
  </r>
  <r>
    <x v="54"/>
    <n v="161491.14583333334"/>
  </r>
  <r>
    <x v="55"/>
    <n v="0"/>
  </r>
  <r>
    <x v="56"/>
    <n v="0"/>
  </r>
  <r>
    <x v="57"/>
    <n v="0"/>
  </r>
  <r>
    <x v="58"/>
    <n v="161491.14583333334"/>
  </r>
  <r>
    <x v="59"/>
    <n v="0"/>
  </r>
  <r>
    <x v="60"/>
    <n v="0"/>
  </r>
  <r>
    <x v="61"/>
    <n v="0"/>
  </r>
  <r>
    <x v="62"/>
    <n v="161491.14583333334"/>
  </r>
  <r>
    <x v="63"/>
    <n v="0"/>
  </r>
  <r>
    <x v="64"/>
    <n v="0"/>
  </r>
  <r>
    <x v="65"/>
    <n v="0"/>
  </r>
  <r>
    <x v="66"/>
    <n v="0"/>
  </r>
  <r>
    <x v="67"/>
    <n v="813016.64166666672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161491.14583333334"/>
  </r>
  <r>
    <x v="77"/>
    <n v="0"/>
  </r>
  <r>
    <x v="78"/>
    <n v="0"/>
  </r>
  <r>
    <x v="79"/>
    <n v="0"/>
  </r>
  <r>
    <x v="80"/>
    <n v="161491.14583333334"/>
  </r>
  <r>
    <x v="81"/>
    <n v="0"/>
  </r>
  <r>
    <x v="82"/>
    <n v="0"/>
  </r>
  <r>
    <x v="83"/>
    <n v="0"/>
  </r>
  <r>
    <x v="84"/>
    <n v="161491.14583333334"/>
  </r>
  <r>
    <x v="85"/>
    <n v="0"/>
  </r>
  <r>
    <x v="86"/>
    <n v="0"/>
  </r>
  <r>
    <x v="87"/>
    <n v="0"/>
  </r>
  <r>
    <x v="88"/>
    <n v="0"/>
  </r>
  <r>
    <x v="89"/>
    <n v="161491.14583333334"/>
  </r>
  <r>
    <x v="90"/>
    <n v="0"/>
  </r>
  <r>
    <x v="91"/>
    <n v="0"/>
  </r>
  <r>
    <x v="92"/>
    <n v="0"/>
  </r>
  <r>
    <x v="93"/>
    <n v="813016.64166666672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161491.14583333334"/>
  </r>
  <r>
    <x v="107"/>
    <n v="0"/>
  </r>
  <r>
    <x v="108"/>
    <n v="0"/>
  </r>
  <r>
    <x v="109"/>
    <n v="0"/>
  </r>
  <r>
    <x v="110"/>
    <n v="0"/>
  </r>
  <r>
    <x v="111"/>
    <n v="161491.14583333334"/>
  </r>
  <r>
    <x v="112"/>
    <n v="0"/>
  </r>
  <r>
    <x v="113"/>
    <n v="0"/>
  </r>
  <r>
    <x v="114"/>
    <n v="0"/>
  </r>
  <r>
    <x v="115"/>
    <n v="161491.14583333334"/>
  </r>
  <r>
    <x v="116"/>
    <n v="0"/>
  </r>
  <r>
    <x v="117"/>
    <n v="0"/>
  </r>
  <r>
    <x v="118"/>
    <n v="0"/>
  </r>
  <r>
    <x v="119"/>
    <n v="161491.14583333334"/>
  </r>
  <r>
    <x v="120"/>
    <n v="0"/>
  </r>
  <r>
    <x v="121"/>
    <n v="0"/>
  </r>
  <r>
    <x v="122"/>
    <n v="0"/>
  </r>
  <r>
    <x v="123"/>
    <n v="813016.64166666672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161491.14583333334"/>
  </r>
  <r>
    <x v="133"/>
    <n v="0"/>
  </r>
  <r>
    <x v="134"/>
    <n v="0"/>
  </r>
  <r>
    <x v="135"/>
    <n v="0"/>
  </r>
  <r>
    <x v="136"/>
    <n v="161491.14583333334"/>
  </r>
  <r>
    <x v="137"/>
    <n v="0"/>
  </r>
  <r>
    <x v="138"/>
    <n v="0"/>
  </r>
  <r>
    <x v="139"/>
    <n v="0"/>
  </r>
  <r>
    <x v="140"/>
    <n v="0"/>
  </r>
  <r>
    <x v="141"/>
    <n v="161491.14583333334"/>
  </r>
  <r>
    <x v="142"/>
    <n v="0"/>
  </r>
  <r>
    <x v="143"/>
    <n v="0"/>
  </r>
  <r>
    <x v="144"/>
    <n v="0"/>
  </r>
  <r>
    <x v="145"/>
    <n v="161491.14583333334"/>
  </r>
  <r>
    <x v="146"/>
    <n v="0"/>
  </r>
  <r>
    <x v="147"/>
    <n v="0"/>
  </r>
  <r>
    <x v="148"/>
    <n v="0"/>
  </r>
  <r>
    <x v="149"/>
    <n v="0"/>
  </r>
  <r>
    <x v="150"/>
    <n v="813016.64166666672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161491.14583333334"/>
  </r>
  <r>
    <x v="159"/>
    <n v="0"/>
  </r>
  <r>
    <x v="160"/>
    <n v="0"/>
  </r>
  <r>
    <x v="161"/>
    <n v="0"/>
  </r>
  <r>
    <x v="162"/>
    <n v="0"/>
  </r>
  <r>
    <x v="163"/>
    <n v="161491.14583333334"/>
  </r>
  <r>
    <x v="164"/>
    <n v="0"/>
  </r>
  <r>
    <x v="165"/>
    <n v="0"/>
  </r>
  <r>
    <x v="166"/>
    <n v="0"/>
  </r>
  <r>
    <x v="167"/>
    <n v="161491.14583333334"/>
  </r>
  <r>
    <x v="168"/>
    <n v="0"/>
  </r>
  <r>
    <x v="169"/>
    <n v="0"/>
  </r>
  <r>
    <x v="170"/>
    <n v="0"/>
  </r>
  <r>
    <x v="171"/>
    <n v="161491.14583333334"/>
  </r>
  <r>
    <x v="172"/>
    <n v="0"/>
  </r>
  <r>
    <x v="173"/>
    <n v="0"/>
  </r>
  <r>
    <x v="174"/>
    <n v="0"/>
  </r>
  <r>
    <x v="175"/>
    <n v="161491.14583333334"/>
  </r>
  <r>
    <x v="176"/>
    <n v="0"/>
  </r>
  <r>
    <x v="177"/>
    <n v="0"/>
  </r>
  <r>
    <x v="178"/>
    <n v="0"/>
  </r>
  <r>
    <x v="179"/>
    <n v="0"/>
  </r>
  <r>
    <x v="180"/>
    <n v="651525.49583333335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  <r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E615C-7064-7048-B49E-2ED051EB1DF4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D212:CE226" firstHeaderRow="1" firstDataRow="1" firstDataCol="1"/>
  <pivotFields count="4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8">
        <item h="1" sd="0" x="0"/>
        <item h="1" sd="0" x="1"/>
        <item h="1" sd="0" x="2"/>
        <item h="1" sd="0" x="3"/>
        <item x="4"/>
        <item h="1" sd="0" x="5"/>
        <item h="1" sd="0" x="6"/>
        <item t="default"/>
      </items>
    </pivotField>
  </pivotFields>
  <rowFields count="2">
    <field x="3"/>
    <field x="0"/>
  </rowFields>
  <rowItems count="14"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a de Fat Recria" fld="1" baseField="0" baseItem="0" numFmtId="168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E90D-3D15-E043-A02C-8D1F8EAB41FC}">
  <sheetPr>
    <pageSetUpPr fitToPage="1"/>
  </sheetPr>
  <dimension ref="A1:CF422"/>
  <sheetViews>
    <sheetView showGridLines="0" tabSelected="1" zoomScale="80" zoomScaleNormal="80" workbookViewId="0">
      <pane xSplit="6" ySplit="2" topLeftCell="U217" activePane="bottomRight" state="frozen"/>
      <selection pane="topRight" activeCell="E1" sqref="E1"/>
      <selection pane="bottomLeft" activeCell="A3" sqref="A3"/>
      <selection pane="bottomRight" activeCell="AE227" sqref="AE227"/>
    </sheetView>
  </sheetViews>
  <sheetFormatPr baseColWidth="10" defaultRowHeight="13" outlineLevelRow="1" outlineLevelCol="2" x14ac:dyDescent="0.15"/>
  <cols>
    <col min="1" max="1" width="5.83203125" customWidth="1"/>
    <col min="2" max="2" width="3.5" bestFit="1" customWidth="1"/>
    <col min="3" max="3" width="1.83203125" customWidth="1"/>
    <col min="4" max="4" width="3.5" bestFit="1" customWidth="1"/>
    <col min="5" max="5" width="4.83203125" style="3" bestFit="1" customWidth="1"/>
    <col min="6" max="6" width="5.6640625" bestFit="1" customWidth="1"/>
    <col min="7" max="7" width="3.5" style="12" hidden="1" customWidth="1" outlineLevel="2"/>
    <col min="8" max="8" width="4.83203125" style="2" hidden="1" customWidth="1" outlineLevel="2"/>
    <col min="9" max="14" width="3.5" style="12" hidden="1" customWidth="1" outlineLevel="2"/>
    <col min="15" max="20" width="3.6640625" style="15" hidden="1" customWidth="1" outlineLevel="1"/>
    <col min="21" max="21" width="2.83203125" style="15" customWidth="1" collapsed="1"/>
    <col min="22" max="23" width="3.83203125" customWidth="1"/>
    <col min="24" max="27" width="3.83203125" hidden="1" customWidth="1"/>
    <col min="28" max="28" width="2.83203125" customWidth="1"/>
    <col min="29" max="31" width="4.33203125" style="4" customWidth="1"/>
    <col min="32" max="44" width="4.33203125" style="4" hidden="1" customWidth="1"/>
    <col min="45" max="60" width="3.83203125" style="2" hidden="1" customWidth="1" outlineLevel="1"/>
    <col min="61" max="61" width="2.33203125" style="1" bestFit="1" customWidth="1" collapsed="1"/>
    <col min="62" max="64" width="3.83203125" customWidth="1"/>
    <col min="65" max="78" width="1.83203125" customWidth="1"/>
    <col min="79" max="79" width="11.33203125" bestFit="1" customWidth="1"/>
    <col min="80" max="80" width="14.33203125" customWidth="1"/>
    <col min="81" max="81" width="13.83203125" bestFit="1" customWidth="1"/>
    <col min="82" max="82" width="17.83203125" bestFit="1" customWidth="1"/>
    <col min="83" max="83" width="18.33203125" style="38" bestFit="1" customWidth="1"/>
    <col min="84" max="84" width="12.83203125" bestFit="1" customWidth="1"/>
    <col min="85" max="85" width="20.6640625" bestFit="1" customWidth="1"/>
  </cols>
  <sheetData>
    <row r="1" spans="2:80" ht="16" x14ac:dyDescent="0.15">
      <c r="I1" s="53" t="s">
        <v>0</v>
      </c>
      <c r="J1" s="54"/>
      <c r="K1" s="54"/>
      <c r="L1" s="54"/>
      <c r="M1" s="54"/>
      <c r="N1" s="55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BM1" t="s">
        <v>5</v>
      </c>
      <c r="BN1" t="s">
        <v>6</v>
      </c>
      <c r="BO1" t="s">
        <v>7</v>
      </c>
      <c r="BP1" t="s">
        <v>8</v>
      </c>
      <c r="BS1" t="s">
        <v>5</v>
      </c>
      <c r="BT1" t="s">
        <v>6</v>
      </c>
      <c r="BU1" t="s">
        <v>7</v>
      </c>
      <c r="BV1" t="s">
        <v>8</v>
      </c>
      <c r="CA1" s="38">
        <f>'[4]R$'!$F$27</f>
        <v>161491.14583333334</v>
      </c>
      <c r="CB1" s="38">
        <f>'[4]R$'!$F$28</f>
        <v>651525.49583333335</v>
      </c>
    </row>
    <row r="2" spans="2:80" ht="15" x14ac:dyDescent="0.2">
      <c r="B2" s="50" t="s">
        <v>2</v>
      </c>
      <c r="C2" s="51"/>
      <c r="D2" s="52"/>
      <c r="E2" s="20" t="s">
        <v>3</v>
      </c>
      <c r="F2" s="21" t="s">
        <v>4</v>
      </c>
      <c r="G2" s="13"/>
      <c r="H2" s="9"/>
      <c r="I2" s="13">
        <f>O2</f>
        <v>1</v>
      </c>
      <c r="J2" s="13">
        <f t="shared" ref="J2:N2" si="0">P2</f>
        <v>2</v>
      </c>
      <c r="K2" s="13">
        <f t="shared" si="0"/>
        <v>3</v>
      </c>
      <c r="L2" s="13">
        <f t="shared" si="0"/>
        <v>4</v>
      </c>
      <c r="M2" s="13">
        <f t="shared" si="0"/>
        <v>5</v>
      </c>
      <c r="N2" s="13">
        <f t="shared" si="0"/>
        <v>6</v>
      </c>
      <c r="O2" s="13">
        <f t="shared" ref="O2:S2" si="1">V2</f>
        <v>1</v>
      </c>
      <c r="P2" s="13">
        <f t="shared" si="1"/>
        <v>2</v>
      </c>
      <c r="Q2" s="13">
        <f t="shared" si="1"/>
        <v>3</v>
      </c>
      <c r="R2" s="13">
        <f t="shared" si="1"/>
        <v>4</v>
      </c>
      <c r="S2" s="13">
        <f t="shared" si="1"/>
        <v>5</v>
      </c>
      <c r="T2" s="13">
        <f>AA2</f>
        <v>6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C2" s="9">
        <v>1</v>
      </c>
      <c r="AD2" s="9">
        <v>2</v>
      </c>
      <c r="AE2" s="9">
        <v>3</v>
      </c>
      <c r="AF2" s="9">
        <v>4</v>
      </c>
      <c r="AG2" s="9">
        <v>5</v>
      </c>
      <c r="AH2" s="9">
        <v>6</v>
      </c>
      <c r="AI2" s="9">
        <v>7</v>
      </c>
      <c r="AJ2" s="9">
        <v>8</v>
      </c>
      <c r="AK2" s="9">
        <v>9</v>
      </c>
      <c r="AL2" s="9">
        <v>10</v>
      </c>
      <c r="AM2" s="9">
        <v>11</v>
      </c>
      <c r="AN2" s="9">
        <v>12</v>
      </c>
      <c r="AO2" s="9">
        <v>13</v>
      </c>
      <c r="AP2" s="9">
        <v>14</v>
      </c>
      <c r="AQ2" s="9">
        <v>15</v>
      </c>
      <c r="AR2" s="9">
        <v>16</v>
      </c>
      <c r="AS2" s="9">
        <f>AC2</f>
        <v>1</v>
      </c>
      <c r="AT2" s="9">
        <f t="shared" ref="AT2:BH2" si="2">AD2</f>
        <v>2</v>
      </c>
      <c r="AU2" s="9">
        <f t="shared" si="2"/>
        <v>3</v>
      </c>
      <c r="AV2" s="9">
        <f t="shared" si="2"/>
        <v>4</v>
      </c>
      <c r="AW2" s="9">
        <f t="shared" si="2"/>
        <v>5</v>
      </c>
      <c r="AX2" s="9">
        <f t="shared" si="2"/>
        <v>6</v>
      </c>
      <c r="AY2" s="9">
        <f t="shared" si="2"/>
        <v>7</v>
      </c>
      <c r="AZ2" s="9">
        <f t="shared" si="2"/>
        <v>8</v>
      </c>
      <c r="BA2" s="9">
        <f t="shared" si="2"/>
        <v>9</v>
      </c>
      <c r="BB2" s="9">
        <f t="shared" si="2"/>
        <v>10</v>
      </c>
      <c r="BC2" s="9">
        <f t="shared" si="2"/>
        <v>11</v>
      </c>
      <c r="BD2" s="9">
        <f t="shared" si="2"/>
        <v>12</v>
      </c>
      <c r="BE2" s="9">
        <f t="shared" si="2"/>
        <v>13</v>
      </c>
      <c r="BF2" s="9">
        <f t="shared" si="2"/>
        <v>14</v>
      </c>
      <c r="BG2" s="9">
        <f t="shared" si="2"/>
        <v>15</v>
      </c>
      <c r="BH2" s="9">
        <f t="shared" si="2"/>
        <v>16</v>
      </c>
      <c r="BM2" s="7">
        <v>1</v>
      </c>
      <c r="BN2" s="7">
        <v>2</v>
      </c>
      <c r="BO2" s="7">
        <v>3</v>
      </c>
      <c r="BP2" s="7">
        <v>4</v>
      </c>
      <c r="BQ2" s="7">
        <v>5</v>
      </c>
      <c r="BR2" s="7">
        <v>6</v>
      </c>
      <c r="BS2" s="7">
        <v>1</v>
      </c>
      <c r="BT2" s="7">
        <v>2</v>
      </c>
      <c r="BU2" s="7">
        <v>3</v>
      </c>
      <c r="BV2" s="7">
        <v>4</v>
      </c>
      <c r="BW2" s="7">
        <v>5</v>
      </c>
      <c r="BX2" s="7">
        <v>6</v>
      </c>
      <c r="CA2" t="s">
        <v>23</v>
      </c>
      <c r="CB2" t="s">
        <v>22</v>
      </c>
    </row>
    <row r="3" spans="2:80" ht="15" hidden="1" x14ac:dyDescent="0.2">
      <c r="B3" s="18"/>
      <c r="C3" s="17"/>
      <c r="D3" s="19"/>
      <c r="E3" s="20"/>
      <c r="F3" s="21"/>
      <c r="G3" s="11"/>
      <c r="H3" s="10"/>
      <c r="I3" s="11"/>
      <c r="J3" s="11"/>
      <c r="K3" s="11"/>
      <c r="L3" s="11"/>
      <c r="M3" s="11"/>
      <c r="N3" s="11"/>
      <c r="O3" s="14"/>
      <c r="P3" s="14"/>
      <c r="Q3" s="14"/>
      <c r="R3" s="14"/>
      <c r="S3" s="14"/>
      <c r="T3" s="14"/>
      <c r="V3" s="6"/>
      <c r="W3" s="6"/>
      <c r="X3" s="6"/>
      <c r="Y3" s="6"/>
      <c r="Z3" s="6"/>
      <c r="AA3" s="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</row>
    <row r="4" spans="2:80" ht="15" hidden="1" outlineLevel="1" x14ac:dyDescent="0.2">
      <c r="B4" s="18">
        <v>43101</v>
      </c>
      <c r="C4" s="17" t="s">
        <v>1</v>
      </c>
      <c r="D4" s="19">
        <v>43107</v>
      </c>
      <c r="E4" s="20">
        <v>1</v>
      </c>
      <c r="F4" s="21">
        <v>2018</v>
      </c>
      <c r="G4" s="11">
        <v>22</v>
      </c>
      <c r="H4" s="10">
        <v>66</v>
      </c>
      <c r="I4" s="11"/>
      <c r="J4" s="11"/>
      <c r="K4" s="11"/>
      <c r="L4" s="11"/>
      <c r="M4" s="11"/>
      <c r="N4" s="11"/>
      <c r="O4" s="14"/>
      <c r="P4" s="14"/>
      <c r="Q4" s="14"/>
      <c r="R4" s="14"/>
      <c r="S4" s="14"/>
      <c r="T4" s="14"/>
      <c r="V4" s="22">
        <f t="shared" ref="V4:AA19" si="3">IF(I4&gt;0,I4,IF(O4=1,$B4+2,IF(O3=1,1,IF(O3=2,0,IF(V3=$G3,0,(IF(V3&gt;=1,V3+1,0)))))))</f>
        <v>0</v>
      </c>
      <c r="W4" s="22">
        <f t="shared" si="3"/>
        <v>0</v>
      </c>
      <c r="X4" s="22">
        <f t="shared" si="3"/>
        <v>0</v>
      </c>
      <c r="Y4" s="22">
        <f t="shared" si="3"/>
        <v>0</v>
      </c>
      <c r="Z4" s="22">
        <f t="shared" si="3"/>
        <v>0</v>
      </c>
      <c r="AA4" s="22">
        <f t="shared" si="3"/>
        <v>0</v>
      </c>
      <c r="AC4" s="5">
        <f t="shared" ref="AC4:AR19" si="4">IF(AND(AS4&gt;=$V$2,AS4&lt;=$AA$2),LOOKUP(AS4,$V$2:$AA$2,$V4:$AA4),IF(AS3="A",0,IF(AC3=$H4,0,IF(AC3=0,0,AC3+1))))</f>
        <v>0</v>
      </c>
      <c r="AD4" s="5">
        <f t="shared" si="4"/>
        <v>0</v>
      </c>
      <c r="AE4" s="5">
        <f t="shared" si="4"/>
        <v>0</v>
      </c>
      <c r="AF4" s="5">
        <f t="shared" si="4"/>
        <v>0</v>
      </c>
      <c r="AG4" s="5">
        <f t="shared" si="4"/>
        <v>0</v>
      </c>
      <c r="AH4" s="5">
        <f t="shared" si="4"/>
        <v>0</v>
      </c>
      <c r="AI4" s="5">
        <f t="shared" si="4"/>
        <v>0</v>
      </c>
      <c r="AJ4" s="5">
        <f t="shared" si="4"/>
        <v>0</v>
      </c>
      <c r="AK4" s="5">
        <f t="shared" si="4"/>
        <v>0</v>
      </c>
      <c r="AL4" s="5">
        <f t="shared" si="4"/>
        <v>0</v>
      </c>
      <c r="AM4" s="5">
        <f t="shared" si="4"/>
        <v>0</v>
      </c>
      <c r="AN4" s="5">
        <f t="shared" si="4"/>
        <v>0</v>
      </c>
      <c r="AO4" s="5">
        <f t="shared" si="4"/>
        <v>0</v>
      </c>
      <c r="AP4" s="5">
        <f t="shared" si="4"/>
        <v>0</v>
      </c>
      <c r="AQ4" s="5">
        <f t="shared" si="4"/>
        <v>0</v>
      </c>
      <c r="AR4" s="5">
        <f t="shared" si="4"/>
        <v>0</v>
      </c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 spans="2:80" ht="15" hidden="1" outlineLevel="1" x14ac:dyDescent="0.2">
      <c r="B5" s="18">
        <f t="shared" ref="B5:B68" si="5">D4+1</f>
        <v>43108</v>
      </c>
      <c r="C5" s="17" t="s">
        <v>1</v>
      </c>
      <c r="D5" s="19">
        <f t="shared" ref="D5:D68" si="6">B5+6</f>
        <v>43114</v>
      </c>
      <c r="E5" s="20">
        <f t="shared" ref="E5:E68" si="7">MONTH(B5)</f>
        <v>1</v>
      </c>
      <c r="F5" s="21">
        <f t="shared" ref="F5:F68" si="8">YEAR(D5)</f>
        <v>2018</v>
      </c>
      <c r="G5" s="16">
        <f>G4</f>
        <v>22</v>
      </c>
      <c r="H5" s="10">
        <f>H4</f>
        <v>66</v>
      </c>
      <c r="I5" s="11"/>
      <c r="J5" s="11"/>
      <c r="K5" s="11"/>
      <c r="L5" s="11"/>
      <c r="M5" s="11"/>
      <c r="N5" s="11"/>
      <c r="O5" s="14"/>
      <c r="P5" s="14"/>
      <c r="Q5" s="14"/>
      <c r="R5" s="14"/>
      <c r="S5" s="14"/>
      <c r="T5" s="14"/>
      <c r="V5" s="22">
        <f t="shared" si="3"/>
        <v>0</v>
      </c>
      <c r="W5" s="22">
        <f t="shared" si="3"/>
        <v>0</v>
      </c>
      <c r="X5" s="22">
        <f t="shared" si="3"/>
        <v>0</v>
      </c>
      <c r="Y5" s="22">
        <f t="shared" si="3"/>
        <v>0</v>
      </c>
      <c r="Z5" s="22">
        <f t="shared" si="3"/>
        <v>0</v>
      </c>
      <c r="AA5" s="22">
        <f t="shared" si="3"/>
        <v>0</v>
      </c>
      <c r="AC5" s="5">
        <f t="shared" si="4"/>
        <v>0</v>
      </c>
      <c r="AD5" s="5">
        <f t="shared" si="4"/>
        <v>0</v>
      </c>
      <c r="AE5" s="5">
        <f t="shared" si="4"/>
        <v>0</v>
      </c>
      <c r="AF5" s="5">
        <f t="shared" si="4"/>
        <v>0</v>
      </c>
      <c r="AG5" s="5">
        <f t="shared" si="4"/>
        <v>0</v>
      </c>
      <c r="AH5" s="5">
        <f t="shared" si="4"/>
        <v>0</v>
      </c>
      <c r="AI5" s="5">
        <f t="shared" si="4"/>
        <v>0</v>
      </c>
      <c r="AJ5" s="5">
        <f t="shared" si="4"/>
        <v>0</v>
      </c>
      <c r="AK5" s="5">
        <f t="shared" si="4"/>
        <v>0</v>
      </c>
      <c r="AL5" s="5">
        <f t="shared" si="4"/>
        <v>0</v>
      </c>
      <c r="AM5" s="5">
        <f t="shared" si="4"/>
        <v>0</v>
      </c>
      <c r="AN5" s="5">
        <f t="shared" si="4"/>
        <v>0</v>
      </c>
      <c r="AO5" s="5">
        <f t="shared" si="4"/>
        <v>0</v>
      </c>
      <c r="AP5" s="5">
        <f t="shared" si="4"/>
        <v>0</v>
      </c>
      <c r="AQ5" s="5">
        <f t="shared" si="4"/>
        <v>0</v>
      </c>
      <c r="AR5" s="5">
        <f t="shared" si="4"/>
        <v>0</v>
      </c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 spans="2:80" ht="15" hidden="1" outlineLevel="1" x14ac:dyDescent="0.2">
      <c r="B6" s="18">
        <f t="shared" si="5"/>
        <v>43115</v>
      </c>
      <c r="C6" s="17" t="s">
        <v>1</v>
      </c>
      <c r="D6" s="19">
        <f t="shared" si="6"/>
        <v>43121</v>
      </c>
      <c r="E6" s="20">
        <f t="shared" si="7"/>
        <v>1</v>
      </c>
      <c r="F6" s="21">
        <f t="shared" si="8"/>
        <v>2018</v>
      </c>
      <c r="G6" s="11">
        <f t="shared" ref="G6:H21" si="9">G5</f>
        <v>22</v>
      </c>
      <c r="H6" s="10">
        <f t="shared" si="9"/>
        <v>66</v>
      </c>
      <c r="I6" s="11"/>
      <c r="J6" s="11"/>
      <c r="K6" s="11"/>
      <c r="L6" s="11"/>
      <c r="M6" s="11"/>
      <c r="N6" s="11"/>
      <c r="O6" s="14"/>
      <c r="P6" s="14"/>
      <c r="Q6" s="14"/>
      <c r="R6" s="14"/>
      <c r="S6" s="14"/>
      <c r="T6" s="14"/>
      <c r="V6" s="22">
        <f t="shared" si="3"/>
        <v>0</v>
      </c>
      <c r="W6" s="22">
        <f t="shared" si="3"/>
        <v>0</v>
      </c>
      <c r="X6" s="22">
        <f t="shared" si="3"/>
        <v>0</v>
      </c>
      <c r="Y6" s="22">
        <f t="shared" si="3"/>
        <v>0</v>
      </c>
      <c r="Z6" s="22">
        <f t="shared" si="3"/>
        <v>0</v>
      </c>
      <c r="AA6" s="22">
        <f t="shared" si="3"/>
        <v>0</v>
      </c>
      <c r="AC6" s="5">
        <f t="shared" si="4"/>
        <v>0</v>
      </c>
      <c r="AD6" s="5">
        <f t="shared" si="4"/>
        <v>0</v>
      </c>
      <c r="AE6" s="5">
        <f t="shared" si="4"/>
        <v>0</v>
      </c>
      <c r="AF6" s="5">
        <f t="shared" si="4"/>
        <v>0</v>
      </c>
      <c r="AG6" s="5">
        <f t="shared" si="4"/>
        <v>0</v>
      </c>
      <c r="AH6" s="5">
        <f t="shared" si="4"/>
        <v>0</v>
      </c>
      <c r="AI6" s="5">
        <f t="shared" si="4"/>
        <v>0</v>
      </c>
      <c r="AJ6" s="5">
        <f t="shared" si="4"/>
        <v>0</v>
      </c>
      <c r="AK6" s="5">
        <f t="shared" si="4"/>
        <v>0</v>
      </c>
      <c r="AL6" s="5">
        <f t="shared" si="4"/>
        <v>0</v>
      </c>
      <c r="AM6" s="5">
        <f t="shared" si="4"/>
        <v>0</v>
      </c>
      <c r="AN6" s="5">
        <f t="shared" si="4"/>
        <v>0</v>
      </c>
      <c r="AO6" s="5">
        <f t="shared" si="4"/>
        <v>0</v>
      </c>
      <c r="AP6" s="5">
        <f t="shared" si="4"/>
        <v>0</v>
      </c>
      <c r="AQ6" s="5">
        <f t="shared" si="4"/>
        <v>0</v>
      </c>
      <c r="AR6" s="5">
        <f t="shared" si="4"/>
        <v>0</v>
      </c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 spans="2:80" ht="15" hidden="1" outlineLevel="1" x14ac:dyDescent="0.2">
      <c r="B7" s="18">
        <f t="shared" si="5"/>
        <v>43122</v>
      </c>
      <c r="C7" s="17" t="s">
        <v>1</v>
      </c>
      <c r="D7" s="19">
        <f t="shared" si="6"/>
        <v>43128</v>
      </c>
      <c r="E7" s="20">
        <f t="shared" si="7"/>
        <v>1</v>
      </c>
      <c r="F7" s="21">
        <f t="shared" si="8"/>
        <v>2018</v>
      </c>
      <c r="G7" s="11">
        <f t="shared" si="9"/>
        <v>22</v>
      </c>
      <c r="H7" s="10">
        <f t="shared" si="9"/>
        <v>66</v>
      </c>
      <c r="I7" s="11"/>
      <c r="J7" s="11"/>
      <c r="K7" s="11"/>
      <c r="L7" s="11"/>
      <c r="M7" s="11"/>
      <c r="N7" s="11"/>
      <c r="O7" s="14"/>
      <c r="P7" s="14"/>
      <c r="Q7" s="14"/>
      <c r="R7" s="14"/>
      <c r="S7" s="14"/>
      <c r="T7" s="14"/>
      <c r="V7" s="22">
        <f t="shared" si="3"/>
        <v>0</v>
      </c>
      <c r="W7" s="22">
        <f t="shared" si="3"/>
        <v>0</v>
      </c>
      <c r="X7" s="22">
        <f t="shared" si="3"/>
        <v>0</v>
      </c>
      <c r="Y7" s="22">
        <f t="shared" si="3"/>
        <v>0</v>
      </c>
      <c r="Z7" s="22">
        <f t="shared" si="3"/>
        <v>0</v>
      </c>
      <c r="AA7" s="22">
        <f t="shared" si="3"/>
        <v>0</v>
      </c>
      <c r="AC7" s="5">
        <f t="shared" si="4"/>
        <v>0</v>
      </c>
      <c r="AD7" s="5">
        <f t="shared" si="4"/>
        <v>0</v>
      </c>
      <c r="AE7" s="5">
        <f t="shared" si="4"/>
        <v>0</v>
      </c>
      <c r="AF7" s="5">
        <f t="shared" si="4"/>
        <v>0</v>
      </c>
      <c r="AG7" s="5">
        <f t="shared" si="4"/>
        <v>0</v>
      </c>
      <c r="AH7" s="5">
        <f t="shared" si="4"/>
        <v>0</v>
      </c>
      <c r="AI7" s="5">
        <f t="shared" si="4"/>
        <v>0</v>
      </c>
      <c r="AJ7" s="5">
        <f t="shared" si="4"/>
        <v>0</v>
      </c>
      <c r="AK7" s="5">
        <f t="shared" si="4"/>
        <v>0</v>
      </c>
      <c r="AL7" s="5">
        <f t="shared" si="4"/>
        <v>0</v>
      </c>
      <c r="AM7" s="5">
        <f t="shared" si="4"/>
        <v>0</v>
      </c>
      <c r="AN7" s="5">
        <f t="shared" si="4"/>
        <v>0</v>
      </c>
      <c r="AO7" s="5">
        <f t="shared" si="4"/>
        <v>0</v>
      </c>
      <c r="AP7" s="5">
        <f t="shared" si="4"/>
        <v>0</v>
      </c>
      <c r="AQ7" s="5">
        <f t="shared" si="4"/>
        <v>0</v>
      </c>
      <c r="AR7" s="5">
        <f t="shared" si="4"/>
        <v>0</v>
      </c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2:80" ht="15" hidden="1" outlineLevel="1" x14ac:dyDescent="0.2">
      <c r="B8" s="18">
        <f t="shared" si="5"/>
        <v>43129</v>
      </c>
      <c r="C8" s="17" t="s">
        <v>1</v>
      </c>
      <c r="D8" s="19">
        <f t="shared" si="6"/>
        <v>43135</v>
      </c>
      <c r="E8" s="20">
        <f t="shared" si="7"/>
        <v>1</v>
      </c>
      <c r="F8" s="21">
        <f t="shared" si="8"/>
        <v>2018</v>
      </c>
      <c r="G8" s="11">
        <f t="shared" si="9"/>
        <v>22</v>
      </c>
      <c r="H8" s="10">
        <f t="shared" si="9"/>
        <v>66</v>
      </c>
      <c r="I8" s="11"/>
      <c r="J8" s="11"/>
      <c r="K8" s="11"/>
      <c r="L8" s="11"/>
      <c r="M8" s="11"/>
      <c r="N8" s="11"/>
      <c r="O8" s="14"/>
      <c r="P8" s="14"/>
      <c r="Q8" s="14"/>
      <c r="R8" s="14"/>
      <c r="S8" s="14"/>
      <c r="T8" s="14"/>
      <c r="V8" s="22">
        <f t="shared" si="3"/>
        <v>0</v>
      </c>
      <c r="W8" s="22">
        <f t="shared" si="3"/>
        <v>0</v>
      </c>
      <c r="X8" s="22">
        <f t="shared" si="3"/>
        <v>0</v>
      </c>
      <c r="Y8" s="22">
        <f t="shared" si="3"/>
        <v>0</v>
      </c>
      <c r="Z8" s="22">
        <f t="shared" si="3"/>
        <v>0</v>
      </c>
      <c r="AA8" s="22">
        <f t="shared" si="3"/>
        <v>0</v>
      </c>
      <c r="AC8" s="5">
        <f t="shared" si="4"/>
        <v>0</v>
      </c>
      <c r="AD8" s="5">
        <f t="shared" si="4"/>
        <v>0</v>
      </c>
      <c r="AE8" s="5">
        <f t="shared" si="4"/>
        <v>0</v>
      </c>
      <c r="AF8" s="5">
        <f t="shared" si="4"/>
        <v>0</v>
      </c>
      <c r="AG8" s="5">
        <f t="shared" si="4"/>
        <v>0</v>
      </c>
      <c r="AH8" s="5">
        <f t="shared" si="4"/>
        <v>0</v>
      </c>
      <c r="AI8" s="5">
        <f t="shared" si="4"/>
        <v>0</v>
      </c>
      <c r="AJ8" s="5">
        <f t="shared" si="4"/>
        <v>0</v>
      </c>
      <c r="AK8" s="5">
        <f t="shared" si="4"/>
        <v>0</v>
      </c>
      <c r="AL8" s="5">
        <f t="shared" si="4"/>
        <v>0</v>
      </c>
      <c r="AM8" s="5">
        <f t="shared" si="4"/>
        <v>0</v>
      </c>
      <c r="AN8" s="5">
        <f t="shared" si="4"/>
        <v>0</v>
      </c>
      <c r="AO8" s="5">
        <f t="shared" si="4"/>
        <v>0</v>
      </c>
      <c r="AP8" s="5">
        <f t="shared" si="4"/>
        <v>0</v>
      </c>
      <c r="AQ8" s="5">
        <f t="shared" si="4"/>
        <v>0</v>
      </c>
      <c r="AR8" s="5">
        <f t="shared" si="4"/>
        <v>0</v>
      </c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 spans="2:80" ht="15" hidden="1" outlineLevel="1" x14ac:dyDescent="0.2">
      <c r="B9" s="18">
        <f t="shared" si="5"/>
        <v>43136</v>
      </c>
      <c r="C9" s="17" t="s">
        <v>1</v>
      </c>
      <c r="D9" s="19">
        <f t="shared" si="6"/>
        <v>43142</v>
      </c>
      <c r="E9" s="20">
        <f t="shared" si="7"/>
        <v>2</v>
      </c>
      <c r="F9" s="21">
        <f t="shared" si="8"/>
        <v>2018</v>
      </c>
      <c r="G9" s="11">
        <f t="shared" si="9"/>
        <v>22</v>
      </c>
      <c r="H9" s="10">
        <f t="shared" si="9"/>
        <v>66</v>
      </c>
      <c r="I9" s="11"/>
      <c r="J9" s="11"/>
      <c r="K9" s="11"/>
      <c r="L9" s="11"/>
      <c r="M9" s="11"/>
      <c r="N9" s="11"/>
      <c r="O9" s="14"/>
      <c r="P9" s="14"/>
      <c r="Q9" s="14"/>
      <c r="R9" s="14"/>
      <c r="S9" s="14"/>
      <c r="T9" s="14"/>
      <c r="V9" s="22">
        <f t="shared" si="3"/>
        <v>0</v>
      </c>
      <c r="W9" s="22">
        <f t="shared" si="3"/>
        <v>0</v>
      </c>
      <c r="X9" s="22">
        <f t="shared" si="3"/>
        <v>0</v>
      </c>
      <c r="Y9" s="22">
        <f t="shared" si="3"/>
        <v>0</v>
      </c>
      <c r="Z9" s="22">
        <f t="shared" si="3"/>
        <v>0</v>
      </c>
      <c r="AA9" s="22">
        <f t="shared" si="3"/>
        <v>0</v>
      </c>
      <c r="AB9" s="1"/>
      <c r="AC9" s="5">
        <f t="shared" si="4"/>
        <v>0</v>
      </c>
      <c r="AD9" s="5">
        <f t="shared" si="4"/>
        <v>0</v>
      </c>
      <c r="AE9" s="5">
        <f t="shared" si="4"/>
        <v>0</v>
      </c>
      <c r="AF9" s="5">
        <f t="shared" si="4"/>
        <v>0</v>
      </c>
      <c r="AG9" s="5">
        <f t="shared" si="4"/>
        <v>0</v>
      </c>
      <c r="AH9" s="5">
        <f t="shared" si="4"/>
        <v>0</v>
      </c>
      <c r="AI9" s="5">
        <f t="shared" si="4"/>
        <v>0</v>
      </c>
      <c r="AJ9" s="5">
        <f t="shared" si="4"/>
        <v>0</v>
      </c>
      <c r="AK9" s="5">
        <f t="shared" si="4"/>
        <v>0</v>
      </c>
      <c r="AL9" s="5">
        <f t="shared" si="4"/>
        <v>0</v>
      </c>
      <c r="AM9" s="5">
        <f t="shared" si="4"/>
        <v>0</v>
      </c>
      <c r="AN9" s="5">
        <f t="shared" si="4"/>
        <v>0</v>
      </c>
      <c r="AO9" s="5">
        <f t="shared" si="4"/>
        <v>0</v>
      </c>
      <c r="AP9" s="5">
        <f t="shared" si="4"/>
        <v>0</v>
      </c>
      <c r="AQ9" s="5">
        <f t="shared" si="4"/>
        <v>0</v>
      </c>
      <c r="AR9" s="5">
        <f t="shared" si="4"/>
        <v>0</v>
      </c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2:80" ht="15" hidden="1" outlineLevel="1" x14ac:dyDescent="0.2">
      <c r="B10" s="18">
        <f t="shared" si="5"/>
        <v>43143</v>
      </c>
      <c r="C10" s="17" t="s">
        <v>1</v>
      </c>
      <c r="D10" s="19">
        <f t="shared" si="6"/>
        <v>43149</v>
      </c>
      <c r="E10" s="20">
        <f t="shared" si="7"/>
        <v>2</v>
      </c>
      <c r="F10" s="21">
        <f t="shared" si="8"/>
        <v>2018</v>
      </c>
      <c r="G10" s="11">
        <f t="shared" si="9"/>
        <v>22</v>
      </c>
      <c r="H10" s="10">
        <f t="shared" si="9"/>
        <v>66</v>
      </c>
      <c r="I10" s="11"/>
      <c r="J10" s="11"/>
      <c r="K10" s="11"/>
      <c r="L10" s="11"/>
      <c r="M10" s="11"/>
      <c r="N10" s="11"/>
      <c r="O10" s="14"/>
      <c r="P10" s="14"/>
      <c r="Q10" s="14"/>
      <c r="R10" s="14"/>
      <c r="S10" s="14"/>
      <c r="T10" s="14"/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2">
        <f t="shared" si="3"/>
        <v>0</v>
      </c>
      <c r="AB10" s="1"/>
      <c r="AC10" s="5">
        <f t="shared" si="4"/>
        <v>0</v>
      </c>
      <c r="AD10" s="5">
        <f t="shared" si="4"/>
        <v>0</v>
      </c>
      <c r="AE10" s="5">
        <f t="shared" si="4"/>
        <v>0</v>
      </c>
      <c r="AF10" s="5">
        <f t="shared" si="4"/>
        <v>0</v>
      </c>
      <c r="AG10" s="5">
        <f t="shared" si="4"/>
        <v>0</v>
      </c>
      <c r="AH10" s="5">
        <f t="shared" si="4"/>
        <v>0</v>
      </c>
      <c r="AI10" s="5">
        <f t="shared" si="4"/>
        <v>0</v>
      </c>
      <c r="AJ10" s="5">
        <f t="shared" si="4"/>
        <v>0</v>
      </c>
      <c r="AK10" s="5">
        <f t="shared" si="4"/>
        <v>0</v>
      </c>
      <c r="AL10" s="5">
        <f t="shared" si="4"/>
        <v>0</v>
      </c>
      <c r="AM10" s="5">
        <f t="shared" si="4"/>
        <v>0</v>
      </c>
      <c r="AN10" s="5">
        <f t="shared" si="4"/>
        <v>0</v>
      </c>
      <c r="AO10" s="5">
        <f t="shared" si="4"/>
        <v>0</v>
      </c>
      <c r="AP10" s="5">
        <f t="shared" si="4"/>
        <v>0</v>
      </c>
      <c r="AQ10" s="5">
        <f t="shared" si="4"/>
        <v>0</v>
      </c>
      <c r="AR10" s="5">
        <f t="shared" si="4"/>
        <v>0</v>
      </c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2:80" ht="15" hidden="1" outlineLevel="1" x14ac:dyDescent="0.2">
      <c r="B11" s="18">
        <f t="shared" si="5"/>
        <v>43150</v>
      </c>
      <c r="C11" s="17" t="s">
        <v>1</v>
      </c>
      <c r="D11" s="19">
        <f t="shared" si="6"/>
        <v>43156</v>
      </c>
      <c r="E11" s="20">
        <f t="shared" si="7"/>
        <v>2</v>
      </c>
      <c r="F11" s="21">
        <f t="shared" si="8"/>
        <v>2018</v>
      </c>
      <c r="G11" s="11">
        <f t="shared" si="9"/>
        <v>22</v>
      </c>
      <c r="H11" s="10">
        <f t="shared" si="9"/>
        <v>66</v>
      </c>
      <c r="I11" s="11"/>
      <c r="J11" s="11"/>
      <c r="K11" s="11"/>
      <c r="L11" s="11"/>
      <c r="M11" s="11"/>
      <c r="N11" s="11"/>
      <c r="O11" s="14">
        <v>1</v>
      </c>
      <c r="P11" s="14"/>
      <c r="Q11" s="14"/>
      <c r="R11" s="14"/>
      <c r="S11" s="14"/>
      <c r="T11" s="14"/>
      <c r="V11" s="22">
        <f t="shared" si="3"/>
        <v>43152</v>
      </c>
      <c r="W11" s="22">
        <f t="shared" si="3"/>
        <v>0</v>
      </c>
      <c r="X11" s="22">
        <f t="shared" si="3"/>
        <v>0</v>
      </c>
      <c r="Y11" s="22">
        <f t="shared" si="3"/>
        <v>0</v>
      </c>
      <c r="Z11" s="22">
        <f t="shared" si="3"/>
        <v>0</v>
      </c>
      <c r="AA11" s="22">
        <f t="shared" si="3"/>
        <v>0</v>
      </c>
      <c r="AB11" s="1"/>
      <c r="AC11" s="5">
        <f t="shared" si="4"/>
        <v>0</v>
      </c>
      <c r="AD11" s="5">
        <f t="shared" si="4"/>
        <v>0</v>
      </c>
      <c r="AE11" s="5">
        <f t="shared" si="4"/>
        <v>0</v>
      </c>
      <c r="AF11" s="5">
        <f t="shared" si="4"/>
        <v>0</v>
      </c>
      <c r="AG11" s="5">
        <f t="shared" si="4"/>
        <v>0</v>
      </c>
      <c r="AH11" s="5">
        <f t="shared" si="4"/>
        <v>0</v>
      </c>
      <c r="AI11" s="5">
        <f t="shared" si="4"/>
        <v>0</v>
      </c>
      <c r="AJ11" s="5">
        <f t="shared" si="4"/>
        <v>0</v>
      </c>
      <c r="AK11" s="5">
        <f t="shared" si="4"/>
        <v>0</v>
      </c>
      <c r="AL11" s="5">
        <f t="shared" si="4"/>
        <v>0</v>
      </c>
      <c r="AM11" s="5">
        <f t="shared" si="4"/>
        <v>0</v>
      </c>
      <c r="AN11" s="5">
        <f t="shared" si="4"/>
        <v>0</v>
      </c>
      <c r="AO11" s="5">
        <f t="shared" si="4"/>
        <v>0</v>
      </c>
      <c r="AP11" s="5">
        <f t="shared" si="4"/>
        <v>0</v>
      </c>
      <c r="AQ11" s="5">
        <f t="shared" si="4"/>
        <v>0</v>
      </c>
      <c r="AR11" s="5">
        <f t="shared" si="4"/>
        <v>0</v>
      </c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2:80" ht="15" hidden="1" outlineLevel="1" x14ac:dyDescent="0.2">
      <c r="B12" s="18">
        <f t="shared" si="5"/>
        <v>43157</v>
      </c>
      <c r="C12" s="17" t="s">
        <v>1</v>
      </c>
      <c r="D12" s="19">
        <f t="shared" si="6"/>
        <v>43163</v>
      </c>
      <c r="E12" s="20">
        <f t="shared" si="7"/>
        <v>2</v>
      </c>
      <c r="F12" s="21">
        <f t="shared" si="8"/>
        <v>2018</v>
      </c>
      <c r="G12" s="16">
        <f t="shared" si="9"/>
        <v>22</v>
      </c>
      <c r="H12" s="10">
        <f t="shared" si="9"/>
        <v>66</v>
      </c>
      <c r="I12" s="11"/>
      <c r="J12" s="11"/>
      <c r="K12" s="11"/>
      <c r="L12" s="11"/>
      <c r="M12" s="11"/>
      <c r="N12" s="11"/>
      <c r="O12" s="14"/>
      <c r="P12" s="14"/>
      <c r="Q12" s="14"/>
      <c r="R12" s="14"/>
      <c r="S12" s="14"/>
      <c r="T12" s="14"/>
      <c r="V12" s="22">
        <f t="shared" si="3"/>
        <v>1</v>
      </c>
      <c r="W12" s="22">
        <f t="shared" si="3"/>
        <v>0</v>
      </c>
      <c r="X12" s="22">
        <f t="shared" si="3"/>
        <v>0</v>
      </c>
      <c r="Y12" s="22">
        <f t="shared" si="3"/>
        <v>0</v>
      </c>
      <c r="Z12" s="22">
        <f t="shared" si="3"/>
        <v>0</v>
      </c>
      <c r="AA12" s="22">
        <f t="shared" si="3"/>
        <v>0</v>
      </c>
      <c r="AB12" s="1"/>
      <c r="AC12" s="5">
        <f t="shared" si="4"/>
        <v>0</v>
      </c>
      <c r="AD12" s="5">
        <f t="shared" si="4"/>
        <v>0</v>
      </c>
      <c r="AE12" s="5">
        <f t="shared" si="4"/>
        <v>0</v>
      </c>
      <c r="AF12" s="5">
        <f t="shared" si="4"/>
        <v>0</v>
      </c>
      <c r="AG12" s="5">
        <f t="shared" si="4"/>
        <v>0</v>
      </c>
      <c r="AH12" s="5">
        <f t="shared" si="4"/>
        <v>0</v>
      </c>
      <c r="AI12" s="5">
        <f t="shared" si="4"/>
        <v>0</v>
      </c>
      <c r="AJ12" s="5">
        <f t="shared" si="4"/>
        <v>0</v>
      </c>
      <c r="AK12" s="5">
        <f t="shared" si="4"/>
        <v>0</v>
      </c>
      <c r="AL12" s="5">
        <f t="shared" si="4"/>
        <v>0</v>
      </c>
      <c r="AM12" s="5">
        <f t="shared" si="4"/>
        <v>0</v>
      </c>
      <c r="AN12" s="5">
        <f t="shared" si="4"/>
        <v>0</v>
      </c>
      <c r="AO12" s="5">
        <f t="shared" si="4"/>
        <v>0</v>
      </c>
      <c r="AP12" s="5">
        <f t="shared" si="4"/>
        <v>0</v>
      </c>
      <c r="AQ12" s="5">
        <f t="shared" si="4"/>
        <v>0</v>
      </c>
      <c r="AR12" s="5">
        <f t="shared" si="4"/>
        <v>0</v>
      </c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2:80" ht="15" hidden="1" outlineLevel="1" x14ac:dyDescent="0.2">
      <c r="B13" s="18">
        <f t="shared" si="5"/>
        <v>43164</v>
      </c>
      <c r="C13" s="17" t="s">
        <v>1</v>
      </c>
      <c r="D13" s="19">
        <f t="shared" si="6"/>
        <v>43170</v>
      </c>
      <c r="E13" s="20">
        <f t="shared" si="7"/>
        <v>3</v>
      </c>
      <c r="F13" s="21">
        <f t="shared" si="8"/>
        <v>2018</v>
      </c>
      <c r="G13" s="16">
        <f t="shared" si="9"/>
        <v>22</v>
      </c>
      <c r="H13" s="10">
        <f t="shared" si="9"/>
        <v>66</v>
      </c>
      <c r="I13" s="11"/>
      <c r="J13" s="11"/>
      <c r="K13" s="11"/>
      <c r="L13" s="11"/>
      <c r="M13" s="11"/>
      <c r="N13" s="11"/>
      <c r="O13" s="14"/>
      <c r="P13" s="14"/>
      <c r="Q13" s="14"/>
      <c r="R13" s="14"/>
      <c r="S13" s="14"/>
      <c r="T13" s="14"/>
      <c r="V13" s="22">
        <f t="shared" si="3"/>
        <v>2</v>
      </c>
      <c r="W13" s="22">
        <f t="shared" si="3"/>
        <v>0</v>
      </c>
      <c r="X13" s="22">
        <f t="shared" si="3"/>
        <v>0</v>
      </c>
      <c r="Y13" s="22">
        <f t="shared" si="3"/>
        <v>0</v>
      </c>
      <c r="Z13" s="22">
        <f t="shared" si="3"/>
        <v>0</v>
      </c>
      <c r="AA13" s="22">
        <f t="shared" si="3"/>
        <v>0</v>
      </c>
      <c r="AB13" s="1"/>
      <c r="AC13" s="5">
        <f t="shared" si="4"/>
        <v>0</v>
      </c>
      <c r="AD13" s="5">
        <f t="shared" si="4"/>
        <v>0</v>
      </c>
      <c r="AE13" s="5">
        <f t="shared" si="4"/>
        <v>0</v>
      </c>
      <c r="AF13" s="5">
        <f t="shared" si="4"/>
        <v>0</v>
      </c>
      <c r="AG13" s="5">
        <f t="shared" si="4"/>
        <v>0</v>
      </c>
      <c r="AH13" s="5">
        <f t="shared" si="4"/>
        <v>0</v>
      </c>
      <c r="AI13" s="5">
        <f t="shared" si="4"/>
        <v>0</v>
      </c>
      <c r="AJ13" s="5">
        <f t="shared" si="4"/>
        <v>0</v>
      </c>
      <c r="AK13" s="5">
        <f t="shared" si="4"/>
        <v>0</v>
      </c>
      <c r="AL13" s="5">
        <f t="shared" si="4"/>
        <v>0</v>
      </c>
      <c r="AM13" s="5">
        <f t="shared" si="4"/>
        <v>0</v>
      </c>
      <c r="AN13" s="5">
        <f t="shared" si="4"/>
        <v>0</v>
      </c>
      <c r="AO13" s="5">
        <f t="shared" si="4"/>
        <v>0</v>
      </c>
      <c r="AP13" s="5">
        <f t="shared" si="4"/>
        <v>0</v>
      </c>
      <c r="AQ13" s="5">
        <f t="shared" si="4"/>
        <v>0</v>
      </c>
      <c r="AR13" s="5">
        <f t="shared" si="4"/>
        <v>0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2:80" ht="15" hidden="1" outlineLevel="1" x14ac:dyDescent="0.2">
      <c r="B14" s="18">
        <f t="shared" si="5"/>
        <v>43171</v>
      </c>
      <c r="C14" s="17" t="s">
        <v>1</v>
      </c>
      <c r="D14" s="19">
        <f t="shared" si="6"/>
        <v>43177</v>
      </c>
      <c r="E14" s="20">
        <f t="shared" si="7"/>
        <v>3</v>
      </c>
      <c r="F14" s="21">
        <f t="shared" si="8"/>
        <v>2018</v>
      </c>
      <c r="G14" s="16">
        <f t="shared" si="9"/>
        <v>22</v>
      </c>
      <c r="H14" s="10">
        <f t="shared" si="9"/>
        <v>66</v>
      </c>
      <c r="I14" s="11"/>
      <c r="J14" s="11"/>
      <c r="K14" s="11"/>
      <c r="L14" s="11"/>
      <c r="M14" s="11"/>
      <c r="N14" s="11"/>
      <c r="O14" s="14"/>
      <c r="P14" s="14"/>
      <c r="Q14" s="14"/>
      <c r="R14" s="14"/>
      <c r="S14" s="14"/>
      <c r="T14" s="14"/>
      <c r="V14" s="22">
        <f t="shared" si="3"/>
        <v>3</v>
      </c>
      <c r="W14" s="22">
        <f t="shared" si="3"/>
        <v>0</v>
      </c>
      <c r="X14" s="22">
        <f t="shared" si="3"/>
        <v>0</v>
      </c>
      <c r="Y14" s="22">
        <f t="shared" si="3"/>
        <v>0</v>
      </c>
      <c r="Z14" s="22">
        <f t="shared" si="3"/>
        <v>0</v>
      </c>
      <c r="AA14" s="22">
        <f t="shared" si="3"/>
        <v>0</v>
      </c>
      <c r="AB14" s="1"/>
      <c r="AC14" s="5">
        <f t="shared" si="4"/>
        <v>0</v>
      </c>
      <c r="AD14" s="5">
        <f t="shared" si="4"/>
        <v>0</v>
      </c>
      <c r="AE14" s="5">
        <f t="shared" si="4"/>
        <v>0</v>
      </c>
      <c r="AF14" s="5">
        <f t="shared" si="4"/>
        <v>0</v>
      </c>
      <c r="AG14" s="5">
        <f t="shared" si="4"/>
        <v>0</v>
      </c>
      <c r="AH14" s="5">
        <f t="shared" si="4"/>
        <v>0</v>
      </c>
      <c r="AI14" s="5">
        <f t="shared" si="4"/>
        <v>0</v>
      </c>
      <c r="AJ14" s="5">
        <f t="shared" si="4"/>
        <v>0</v>
      </c>
      <c r="AK14" s="5">
        <f t="shared" si="4"/>
        <v>0</v>
      </c>
      <c r="AL14" s="5">
        <f t="shared" si="4"/>
        <v>0</v>
      </c>
      <c r="AM14" s="5">
        <f t="shared" si="4"/>
        <v>0</v>
      </c>
      <c r="AN14" s="5">
        <f t="shared" si="4"/>
        <v>0</v>
      </c>
      <c r="AO14" s="5">
        <f t="shared" si="4"/>
        <v>0</v>
      </c>
      <c r="AP14" s="5">
        <f t="shared" si="4"/>
        <v>0</v>
      </c>
      <c r="AQ14" s="5">
        <f t="shared" si="4"/>
        <v>0</v>
      </c>
      <c r="AR14" s="5">
        <f t="shared" si="4"/>
        <v>0</v>
      </c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 spans="2:80" ht="15" hidden="1" outlineLevel="1" x14ac:dyDescent="0.2">
      <c r="B15" s="18">
        <f t="shared" si="5"/>
        <v>43178</v>
      </c>
      <c r="C15" s="17" t="s">
        <v>1</v>
      </c>
      <c r="D15" s="19">
        <f t="shared" si="6"/>
        <v>43184</v>
      </c>
      <c r="E15" s="20">
        <f t="shared" si="7"/>
        <v>3</v>
      </c>
      <c r="F15" s="21">
        <f t="shared" si="8"/>
        <v>2018</v>
      </c>
      <c r="G15" s="16">
        <f t="shared" si="9"/>
        <v>22</v>
      </c>
      <c r="H15" s="10">
        <f t="shared" si="9"/>
        <v>66</v>
      </c>
      <c r="I15" s="11"/>
      <c r="J15" s="11"/>
      <c r="K15" s="11"/>
      <c r="L15" s="11"/>
      <c r="M15" s="11"/>
      <c r="N15" s="11"/>
      <c r="O15" s="14"/>
      <c r="P15" s="14"/>
      <c r="Q15" s="14"/>
      <c r="R15" s="14"/>
      <c r="S15" s="14"/>
      <c r="T15" s="14"/>
      <c r="V15" s="22">
        <f t="shared" si="3"/>
        <v>4</v>
      </c>
      <c r="W15" s="22">
        <f t="shared" si="3"/>
        <v>0</v>
      </c>
      <c r="X15" s="22">
        <f t="shared" si="3"/>
        <v>0</v>
      </c>
      <c r="Y15" s="22">
        <f t="shared" si="3"/>
        <v>0</v>
      </c>
      <c r="Z15" s="22">
        <f t="shared" si="3"/>
        <v>0</v>
      </c>
      <c r="AA15" s="22">
        <f t="shared" si="3"/>
        <v>0</v>
      </c>
      <c r="AB15" s="1"/>
      <c r="AC15" s="5">
        <f t="shared" si="4"/>
        <v>0</v>
      </c>
      <c r="AD15" s="5">
        <f t="shared" si="4"/>
        <v>0</v>
      </c>
      <c r="AE15" s="5">
        <f t="shared" si="4"/>
        <v>0</v>
      </c>
      <c r="AF15" s="5">
        <f t="shared" si="4"/>
        <v>0</v>
      </c>
      <c r="AG15" s="5">
        <f t="shared" si="4"/>
        <v>0</v>
      </c>
      <c r="AH15" s="5">
        <f t="shared" si="4"/>
        <v>0</v>
      </c>
      <c r="AI15" s="5">
        <f t="shared" si="4"/>
        <v>0</v>
      </c>
      <c r="AJ15" s="5">
        <f t="shared" si="4"/>
        <v>0</v>
      </c>
      <c r="AK15" s="5">
        <f t="shared" si="4"/>
        <v>0</v>
      </c>
      <c r="AL15" s="5">
        <f t="shared" si="4"/>
        <v>0</v>
      </c>
      <c r="AM15" s="5">
        <f t="shared" si="4"/>
        <v>0</v>
      </c>
      <c r="AN15" s="5">
        <f t="shared" si="4"/>
        <v>0</v>
      </c>
      <c r="AO15" s="5">
        <f t="shared" si="4"/>
        <v>0</v>
      </c>
      <c r="AP15" s="5">
        <f t="shared" si="4"/>
        <v>0</v>
      </c>
      <c r="AQ15" s="5">
        <f t="shared" si="4"/>
        <v>0</v>
      </c>
      <c r="AR15" s="5">
        <f t="shared" si="4"/>
        <v>0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 spans="2:80" ht="15" hidden="1" outlineLevel="1" x14ac:dyDescent="0.2">
      <c r="B16" s="18">
        <f t="shared" si="5"/>
        <v>43185</v>
      </c>
      <c r="C16" s="17" t="s">
        <v>1</v>
      </c>
      <c r="D16" s="19">
        <f t="shared" si="6"/>
        <v>43191</v>
      </c>
      <c r="E16" s="20">
        <f t="shared" si="7"/>
        <v>3</v>
      </c>
      <c r="F16" s="21">
        <f t="shared" si="8"/>
        <v>2018</v>
      </c>
      <c r="G16" s="16">
        <f t="shared" si="9"/>
        <v>22</v>
      </c>
      <c r="H16" s="10">
        <f t="shared" si="9"/>
        <v>66</v>
      </c>
      <c r="I16" s="11"/>
      <c r="J16" s="11"/>
      <c r="K16" s="11"/>
      <c r="L16" s="11"/>
      <c r="M16" s="11"/>
      <c r="N16" s="11"/>
      <c r="O16" s="14"/>
      <c r="P16" s="14"/>
      <c r="Q16" s="14"/>
      <c r="R16" s="14"/>
      <c r="S16" s="14"/>
      <c r="T16" s="14"/>
      <c r="V16" s="22">
        <f t="shared" si="3"/>
        <v>5</v>
      </c>
      <c r="W16" s="22">
        <f t="shared" si="3"/>
        <v>0</v>
      </c>
      <c r="X16" s="22">
        <f t="shared" si="3"/>
        <v>0</v>
      </c>
      <c r="Y16" s="22">
        <f t="shared" si="3"/>
        <v>0</v>
      </c>
      <c r="Z16" s="22">
        <f t="shared" si="3"/>
        <v>0</v>
      </c>
      <c r="AA16" s="22">
        <f t="shared" si="3"/>
        <v>0</v>
      </c>
      <c r="AB16" s="1"/>
      <c r="AC16" s="5">
        <f t="shared" si="4"/>
        <v>0</v>
      </c>
      <c r="AD16" s="5">
        <f t="shared" si="4"/>
        <v>0</v>
      </c>
      <c r="AE16" s="5">
        <f t="shared" si="4"/>
        <v>0</v>
      </c>
      <c r="AF16" s="5">
        <f t="shared" si="4"/>
        <v>0</v>
      </c>
      <c r="AG16" s="5">
        <f t="shared" si="4"/>
        <v>0</v>
      </c>
      <c r="AH16" s="5">
        <f t="shared" si="4"/>
        <v>0</v>
      </c>
      <c r="AI16" s="5">
        <f t="shared" si="4"/>
        <v>0</v>
      </c>
      <c r="AJ16" s="5">
        <f t="shared" si="4"/>
        <v>0</v>
      </c>
      <c r="AK16" s="5">
        <f t="shared" si="4"/>
        <v>0</v>
      </c>
      <c r="AL16" s="5">
        <f t="shared" si="4"/>
        <v>0</v>
      </c>
      <c r="AM16" s="5">
        <f t="shared" si="4"/>
        <v>0</v>
      </c>
      <c r="AN16" s="5">
        <f t="shared" si="4"/>
        <v>0</v>
      </c>
      <c r="AO16" s="5">
        <f t="shared" si="4"/>
        <v>0</v>
      </c>
      <c r="AP16" s="5">
        <f t="shared" si="4"/>
        <v>0</v>
      </c>
      <c r="AQ16" s="5">
        <f t="shared" si="4"/>
        <v>0</v>
      </c>
      <c r="AR16" s="5">
        <f t="shared" si="4"/>
        <v>0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 spans="2:60" ht="15" hidden="1" outlineLevel="1" x14ac:dyDescent="0.2">
      <c r="B17" s="18">
        <f t="shared" si="5"/>
        <v>43192</v>
      </c>
      <c r="C17" s="17" t="s">
        <v>1</v>
      </c>
      <c r="D17" s="19">
        <f t="shared" si="6"/>
        <v>43198</v>
      </c>
      <c r="E17" s="20">
        <f t="shared" si="7"/>
        <v>4</v>
      </c>
      <c r="F17" s="21">
        <f t="shared" si="8"/>
        <v>2018</v>
      </c>
      <c r="G17" s="11">
        <f t="shared" si="9"/>
        <v>22</v>
      </c>
      <c r="H17" s="10">
        <f t="shared" si="9"/>
        <v>66</v>
      </c>
      <c r="I17" s="11"/>
      <c r="J17" s="11"/>
      <c r="K17" s="11"/>
      <c r="L17" s="11"/>
      <c r="M17" s="11"/>
      <c r="N17" s="11"/>
      <c r="O17" s="14"/>
      <c r="P17" s="14"/>
      <c r="Q17" s="14"/>
      <c r="R17" s="14"/>
      <c r="S17" s="14"/>
      <c r="T17" s="14"/>
      <c r="V17" s="22">
        <f t="shared" si="3"/>
        <v>6</v>
      </c>
      <c r="W17" s="22">
        <f t="shared" si="3"/>
        <v>0</v>
      </c>
      <c r="X17" s="22">
        <f t="shared" si="3"/>
        <v>0</v>
      </c>
      <c r="Y17" s="22">
        <f t="shared" si="3"/>
        <v>0</v>
      </c>
      <c r="Z17" s="22">
        <f t="shared" si="3"/>
        <v>0</v>
      </c>
      <c r="AA17" s="22">
        <f t="shared" si="3"/>
        <v>0</v>
      </c>
      <c r="AB17" s="1"/>
      <c r="AC17" s="5">
        <f t="shared" si="4"/>
        <v>0</v>
      </c>
      <c r="AD17" s="5">
        <f t="shared" si="4"/>
        <v>0</v>
      </c>
      <c r="AE17" s="5">
        <f t="shared" si="4"/>
        <v>0</v>
      </c>
      <c r="AF17" s="5">
        <f t="shared" si="4"/>
        <v>0</v>
      </c>
      <c r="AG17" s="5">
        <f t="shared" si="4"/>
        <v>0</v>
      </c>
      <c r="AH17" s="5">
        <f t="shared" si="4"/>
        <v>0</v>
      </c>
      <c r="AI17" s="5">
        <f t="shared" si="4"/>
        <v>0</v>
      </c>
      <c r="AJ17" s="5">
        <f t="shared" si="4"/>
        <v>0</v>
      </c>
      <c r="AK17" s="5">
        <f t="shared" si="4"/>
        <v>0</v>
      </c>
      <c r="AL17" s="5">
        <f t="shared" si="4"/>
        <v>0</v>
      </c>
      <c r="AM17" s="5">
        <f t="shared" si="4"/>
        <v>0</v>
      </c>
      <c r="AN17" s="5">
        <f t="shared" si="4"/>
        <v>0</v>
      </c>
      <c r="AO17" s="5">
        <f t="shared" si="4"/>
        <v>0</v>
      </c>
      <c r="AP17" s="5">
        <f t="shared" si="4"/>
        <v>0</v>
      </c>
      <c r="AQ17" s="5">
        <f t="shared" si="4"/>
        <v>0</v>
      </c>
      <c r="AR17" s="5">
        <f t="shared" si="4"/>
        <v>0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 spans="2:60" ht="15" hidden="1" outlineLevel="1" x14ac:dyDescent="0.2">
      <c r="B18" s="18">
        <f t="shared" si="5"/>
        <v>43199</v>
      </c>
      <c r="C18" s="17" t="s">
        <v>1</v>
      </c>
      <c r="D18" s="19">
        <f t="shared" si="6"/>
        <v>43205</v>
      </c>
      <c r="E18" s="20">
        <f t="shared" si="7"/>
        <v>4</v>
      </c>
      <c r="F18" s="21">
        <f t="shared" si="8"/>
        <v>2018</v>
      </c>
      <c r="G18" s="11">
        <f t="shared" si="9"/>
        <v>22</v>
      </c>
      <c r="H18" s="10">
        <f t="shared" si="9"/>
        <v>66</v>
      </c>
      <c r="I18" s="11"/>
      <c r="J18" s="11"/>
      <c r="K18" s="11"/>
      <c r="L18" s="11"/>
      <c r="M18" s="11"/>
      <c r="N18" s="11"/>
      <c r="O18" s="14"/>
      <c r="P18" s="14"/>
      <c r="Q18" s="14"/>
      <c r="R18" s="14"/>
      <c r="S18" s="14"/>
      <c r="T18" s="14"/>
      <c r="V18" s="22">
        <f t="shared" si="3"/>
        <v>7</v>
      </c>
      <c r="W18" s="22">
        <f t="shared" si="3"/>
        <v>0</v>
      </c>
      <c r="X18" s="22">
        <f t="shared" si="3"/>
        <v>0</v>
      </c>
      <c r="Y18" s="22">
        <f t="shared" si="3"/>
        <v>0</v>
      </c>
      <c r="Z18" s="22">
        <f t="shared" si="3"/>
        <v>0</v>
      </c>
      <c r="AA18" s="22">
        <f t="shared" si="3"/>
        <v>0</v>
      </c>
      <c r="AB18" s="1"/>
      <c r="AC18" s="5">
        <f t="shared" si="4"/>
        <v>0</v>
      </c>
      <c r="AD18" s="5">
        <f t="shared" si="4"/>
        <v>0</v>
      </c>
      <c r="AE18" s="5">
        <f t="shared" si="4"/>
        <v>0</v>
      </c>
      <c r="AF18" s="5">
        <f t="shared" si="4"/>
        <v>0</v>
      </c>
      <c r="AG18" s="5">
        <f t="shared" si="4"/>
        <v>0</v>
      </c>
      <c r="AH18" s="5">
        <f t="shared" si="4"/>
        <v>0</v>
      </c>
      <c r="AI18" s="5">
        <f t="shared" si="4"/>
        <v>0</v>
      </c>
      <c r="AJ18" s="5">
        <f t="shared" si="4"/>
        <v>0</v>
      </c>
      <c r="AK18" s="5">
        <f t="shared" si="4"/>
        <v>0</v>
      </c>
      <c r="AL18" s="5">
        <f t="shared" si="4"/>
        <v>0</v>
      </c>
      <c r="AM18" s="5">
        <f t="shared" si="4"/>
        <v>0</v>
      </c>
      <c r="AN18" s="5">
        <f t="shared" si="4"/>
        <v>0</v>
      </c>
      <c r="AO18" s="5">
        <f t="shared" si="4"/>
        <v>0</v>
      </c>
      <c r="AP18" s="5">
        <f t="shared" si="4"/>
        <v>0</v>
      </c>
      <c r="AQ18" s="5">
        <f t="shared" si="4"/>
        <v>0</v>
      </c>
      <c r="AR18" s="5">
        <f t="shared" si="4"/>
        <v>0</v>
      </c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</row>
    <row r="19" spans="2:60" ht="15" hidden="1" outlineLevel="1" x14ac:dyDescent="0.2">
      <c r="B19" s="18">
        <f t="shared" si="5"/>
        <v>43206</v>
      </c>
      <c r="C19" s="17" t="s">
        <v>1</v>
      </c>
      <c r="D19" s="19">
        <f t="shared" si="6"/>
        <v>43212</v>
      </c>
      <c r="E19" s="20">
        <f t="shared" si="7"/>
        <v>4</v>
      </c>
      <c r="F19" s="21">
        <f t="shared" si="8"/>
        <v>2018</v>
      </c>
      <c r="G19" s="11">
        <f t="shared" si="9"/>
        <v>22</v>
      </c>
      <c r="H19" s="10">
        <f t="shared" si="9"/>
        <v>66</v>
      </c>
      <c r="I19" s="11"/>
      <c r="J19" s="11"/>
      <c r="K19" s="11"/>
      <c r="L19" s="11"/>
      <c r="M19" s="11"/>
      <c r="N19" s="11"/>
      <c r="O19" s="14"/>
      <c r="P19" s="14"/>
      <c r="Q19" s="14"/>
      <c r="R19" s="14"/>
      <c r="S19" s="14"/>
      <c r="T19" s="14"/>
      <c r="V19" s="22">
        <f t="shared" si="3"/>
        <v>8</v>
      </c>
      <c r="W19" s="22">
        <f t="shared" si="3"/>
        <v>0</v>
      </c>
      <c r="X19" s="22">
        <f t="shared" si="3"/>
        <v>0</v>
      </c>
      <c r="Y19" s="22">
        <f t="shared" si="3"/>
        <v>0</v>
      </c>
      <c r="Z19" s="22">
        <f t="shared" si="3"/>
        <v>0</v>
      </c>
      <c r="AA19" s="22">
        <f t="shared" si="3"/>
        <v>0</v>
      </c>
      <c r="AB19" s="1"/>
      <c r="AC19" s="5">
        <f t="shared" si="4"/>
        <v>0</v>
      </c>
      <c r="AD19" s="5">
        <f t="shared" si="4"/>
        <v>0</v>
      </c>
      <c r="AE19" s="5">
        <f t="shared" si="4"/>
        <v>0</v>
      </c>
      <c r="AF19" s="5">
        <f t="shared" si="4"/>
        <v>0</v>
      </c>
      <c r="AG19" s="5">
        <f t="shared" si="4"/>
        <v>0</v>
      </c>
      <c r="AH19" s="5">
        <f t="shared" si="4"/>
        <v>0</v>
      </c>
      <c r="AI19" s="5">
        <f t="shared" si="4"/>
        <v>0</v>
      </c>
      <c r="AJ19" s="5">
        <f t="shared" si="4"/>
        <v>0</v>
      </c>
      <c r="AK19" s="5">
        <f t="shared" si="4"/>
        <v>0</v>
      </c>
      <c r="AL19" s="5">
        <f t="shared" si="4"/>
        <v>0</v>
      </c>
      <c r="AM19" s="5">
        <f t="shared" si="4"/>
        <v>0</v>
      </c>
      <c r="AN19" s="5">
        <f t="shared" si="4"/>
        <v>0</v>
      </c>
      <c r="AO19" s="5">
        <f t="shared" si="4"/>
        <v>0</v>
      </c>
      <c r="AP19" s="5">
        <f t="shared" si="4"/>
        <v>0</v>
      </c>
      <c r="AQ19" s="5">
        <f t="shared" si="4"/>
        <v>0</v>
      </c>
      <c r="AR19" s="5">
        <f t="shared" ref="AR19:AR28" si="10">IF(AND(BH19&gt;=$V$2,BH19&lt;=$AA$2),LOOKUP(BH19,$V$2:$AA$2,$V19:$AA19),IF(BH18="A",0,IF(AR18=$H19,0,IF(AR18=0,0,AR18+1))))</f>
        <v>0</v>
      </c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</row>
    <row r="20" spans="2:60" ht="15" hidden="1" outlineLevel="1" x14ac:dyDescent="0.2">
      <c r="B20" s="18">
        <f t="shared" si="5"/>
        <v>43213</v>
      </c>
      <c r="C20" s="17" t="s">
        <v>1</v>
      </c>
      <c r="D20" s="19">
        <f t="shared" si="6"/>
        <v>43219</v>
      </c>
      <c r="E20" s="20">
        <f t="shared" si="7"/>
        <v>4</v>
      </c>
      <c r="F20" s="21">
        <f t="shared" si="8"/>
        <v>2018</v>
      </c>
      <c r="G20" s="11">
        <f t="shared" si="9"/>
        <v>22</v>
      </c>
      <c r="H20" s="10">
        <f t="shared" si="9"/>
        <v>66</v>
      </c>
      <c r="I20" s="11"/>
      <c r="J20" s="11"/>
      <c r="K20" s="11"/>
      <c r="L20" s="11"/>
      <c r="M20" s="11"/>
      <c r="N20" s="11"/>
      <c r="O20" s="14"/>
      <c r="P20" s="14"/>
      <c r="Q20" s="14"/>
      <c r="R20" s="14"/>
      <c r="S20" s="14"/>
      <c r="T20" s="14"/>
      <c r="V20" s="22">
        <f t="shared" ref="V20:AA35" si="11">IF(I20&gt;0,I20,IF(O20=1,$B20+2,IF(O19=1,1,IF(O19=2,0,IF(V19=$G19,0,(IF(V19&gt;=1,V19+1,0)))))))</f>
        <v>9</v>
      </c>
      <c r="W20" s="22">
        <f t="shared" si="11"/>
        <v>0</v>
      </c>
      <c r="X20" s="22">
        <f t="shared" si="11"/>
        <v>0</v>
      </c>
      <c r="Y20" s="22">
        <f t="shared" si="11"/>
        <v>0</v>
      </c>
      <c r="Z20" s="22">
        <f t="shared" si="11"/>
        <v>0</v>
      </c>
      <c r="AA20" s="22">
        <f t="shared" si="11"/>
        <v>0</v>
      </c>
      <c r="AB20" s="1"/>
      <c r="AC20" s="5">
        <f t="shared" ref="AC20:AQ28" si="12">IF(AND(AS20&gt;=$V$2,AS20&lt;=$AA$2),LOOKUP(AS20,$V$2:$AA$2,$V20:$AA20),IF(AS19="A",0,IF(AC19=$H20,0,IF(AC19=0,0,AC19+1))))</f>
        <v>0</v>
      </c>
      <c r="AD20" s="5">
        <f t="shared" si="12"/>
        <v>0</v>
      </c>
      <c r="AE20" s="5">
        <f t="shared" si="12"/>
        <v>0</v>
      </c>
      <c r="AF20" s="5">
        <f t="shared" si="12"/>
        <v>0</v>
      </c>
      <c r="AG20" s="5">
        <f t="shared" si="12"/>
        <v>0</v>
      </c>
      <c r="AH20" s="5">
        <f t="shared" si="12"/>
        <v>0</v>
      </c>
      <c r="AI20" s="5">
        <f t="shared" si="12"/>
        <v>0</v>
      </c>
      <c r="AJ20" s="5">
        <f t="shared" si="12"/>
        <v>0</v>
      </c>
      <c r="AK20" s="5">
        <f t="shared" si="12"/>
        <v>0</v>
      </c>
      <c r="AL20" s="5">
        <f t="shared" si="12"/>
        <v>0</v>
      </c>
      <c r="AM20" s="5">
        <f t="shared" si="12"/>
        <v>0</v>
      </c>
      <c r="AN20" s="5">
        <f t="shared" si="12"/>
        <v>0</v>
      </c>
      <c r="AO20" s="5">
        <f t="shared" si="12"/>
        <v>0</v>
      </c>
      <c r="AP20" s="5">
        <f t="shared" si="12"/>
        <v>0</v>
      </c>
      <c r="AQ20" s="5">
        <f t="shared" si="12"/>
        <v>0</v>
      </c>
      <c r="AR20" s="5">
        <f t="shared" si="10"/>
        <v>0</v>
      </c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</row>
    <row r="21" spans="2:60" ht="15" hidden="1" outlineLevel="1" x14ac:dyDescent="0.2">
      <c r="B21" s="18">
        <f t="shared" si="5"/>
        <v>43220</v>
      </c>
      <c r="C21" s="17" t="s">
        <v>1</v>
      </c>
      <c r="D21" s="19">
        <f t="shared" si="6"/>
        <v>43226</v>
      </c>
      <c r="E21" s="20">
        <f t="shared" si="7"/>
        <v>4</v>
      </c>
      <c r="F21" s="21">
        <f t="shared" si="8"/>
        <v>2018</v>
      </c>
      <c r="G21" s="11">
        <f t="shared" si="9"/>
        <v>22</v>
      </c>
      <c r="H21" s="10">
        <f t="shared" si="9"/>
        <v>66</v>
      </c>
      <c r="I21" s="11"/>
      <c r="J21" s="11"/>
      <c r="K21" s="11"/>
      <c r="L21" s="11"/>
      <c r="M21" s="11"/>
      <c r="N21" s="11"/>
      <c r="O21" s="14"/>
      <c r="P21" s="14"/>
      <c r="Q21" s="14"/>
      <c r="R21" s="14"/>
      <c r="S21" s="14"/>
      <c r="T21" s="14"/>
      <c r="V21" s="22">
        <f t="shared" si="11"/>
        <v>10</v>
      </c>
      <c r="W21" s="22">
        <f t="shared" si="11"/>
        <v>0</v>
      </c>
      <c r="X21" s="22">
        <f t="shared" si="11"/>
        <v>0</v>
      </c>
      <c r="Y21" s="22">
        <f t="shared" si="11"/>
        <v>0</v>
      </c>
      <c r="Z21" s="22">
        <f t="shared" si="11"/>
        <v>0</v>
      </c>
      <c r="AA21" s="22">
        <f t="shared" si="11"/>
        <v>0</v>
      </c>
      <c r="AB21" s="1"/>
      <c r="AC21" s="5">
        <f t="shared" si="12"/>
        <v>0</v>
      </c>
      <c r="AD21" s="5">
        <f t="shared" si="12"/>
        <v>0</v>
      </c>
      <c r="AE21" s="5">
        <f t="shared" si="12"/>
        <v>0</v>
      </c>
      <c r="AF21" s="5">
        <f t="shared" si="12"/>
        <v>0</v>
      </c>
      <c r="AG21" s="5">
        <f t="shared" si="12"/>
        <v>0</v>
      </c>
      <c r="AH21" s="5">
        <f t="shared" si="12"/>
        <v>0</v>
      </c>
      <c r="AI21" s="5">
        <f t="shared" si="12"/>
        <v>0</v>
      </c>
      <c r="AJ21" s="5">
        <f t="shared" si="12"/>
        <v>0</v>
      </c>
      <c r="AK21" s="5">
        <f t="shared" si="12"/>
        <v>0</v>
      </c>
      <c r="AL21" s="5">
        <f t="shared" si="12"/>
        <v>0</v>
      </c>
      <c r="AM21" s="5">
        <f t="shared" si="12"/>
        <v>0</v>
      </c>
      <c r="AN21" s="5">
        <f t="shared" si="12"/>
        <v>0</v>
      </c>
      <c r="AO21" s="5">
        <f t="shared" si="12"/>
        <v>0</v>
      </c>
      <c r="AP21" s="5">
        <f t="shared" si="12"/>
        <v>0</v>
      </c>
      <c r="AQ21" s="5">
        <f t="shared" si="12"/>
        <v>0</v>
      </c>
      <c r="AR21" s="5">
        <f t="shared" si="10"/>
        <v>0</v>
      </c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2:60" ht="15" hidden="1" outlineLevel="1" x14ac:dyDescent="0.2">
      <c r="B22" s="18">
        <f t="shared" si="5"/>
        <v>43227</v>
      </c>
      <c r="C22" s="17" t="s">
        <v>1</v>
      </c>
      <c r="D22" s="19">
        <f t="shared" si="6"/>
        <v>43233</v>
      </c>
      <c r="E22" s="20">
        <f t="shared" si="7"/>
        <v>5</v>
      </c>
      <c r="F22" s="21">
        <f t="shared" si="8"/>
        <v>2018</v>
      </c>
      <c r="G22" s="11">
        <f t="shared" ref="G22:H37" si="13">G21</f>
        <v>22</v>
      </c>
      <c r="H22" s="10">
        <f t="shared" si="13"/>
        <v>66</v>
      </c>
      <c r="I22" s="11"/>
      <c r="J22" s="11"/>
      <c r="K22" s="11"/>
      <c r="L22" s="11"/>
      <c r="M22" s="11"/>
      <c r="N22" s="11"/>
      <c r="O22" s="14"/>
      <c r="P22" s="14"/>
      <c r="Q22" s="14"/>
      <c r="R22" s="14"/>
      <c r="S22" s="14"/>
      <c r="T22" s="14"/>
      <c r="V22" s="22">
        <f t="shared" si="11"/>
        <v>11</v>
      </c>
      <c r="W22" s="22">
        <f t="shared" si="11"/>
        <v>0</v>
      </c>
      <c r="X22" s="22">
        <f t="shared" si="11"/>
        <v>0</v>
      </c>
      <c r="Y22" s="22">
        <f t="shared" si="11"/>
        <v>0</v>
      </c>
      <c r="Z22" s="22">
        <f t="shared" si="11"/>
        <v>0</v>
      </c>
      <c r="AA22" s="22">
        <f t="shared" si="11"/>
        <v>0</v>
      </c>
      <c r="AB22" s="1"/>
      <c r="AC22" s="5">
        <f t="shared" si="12"/>
        <v>0</v>
      </c>
      <c r="AD22" s="5">
        <f t="shared" si="12"/>
        <v>0</v>
      </c>
      <c r="AE22" s="5">
        <f t="shared" si="12"/>
        <v>0</v>
      </c>
      <c r="AF22" s="5">
        <f t="shared" si="12"/>
        <v>0</v>
      </c>
      <c r="AG22" s="5">
        <f t="shared" si="12"/>
        <v>0</v>
      </c>
      <c r="AH22" s="5">
        <f t="shared" si="12"/>
        <v>0</v>
      </c>
      <c r="AI22" s="5">
        <f t="shared" si="12"/>
        <v>0</v>
      </c>
      <c r="AJ22" s="5">
        <f t="shared" si="12"/>
        <v>0</v>
      </c>
      <c r="AK22" s="5">
        <f t="shared" si="12"/>
        <v>0</v>
      </c>
      <c r="AL22" s="5">
        <f t="shared" si="12"/>
        <v>0</v>
      </c>
      <c r="AM22" s="5">
        <f t="shared" si="12"/>
        <v>0</v>
      </c>
      <c r="AN22" s="5">
        <f t="shared" si="12"/>
        <v>0</v>
      </c>
      <c r="AO22" s="5">
        <f t="shared" si="12"/>
        <v>0</v>
      </c>
      <c r="AP22" s="5">
        <f t="shared" si="12"/>
        <v>0</v>
      </c>
      <c r="AQ22" s="5">
        <f t="shared" si="12"/>
        <v>0</v>
      </c>
      <c r="AR22" s="5">
        <f t="shared" si="10"/>
        <v>0</v>
      </c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2:60" ht="15" hidden="1" outlineLevel="1" x14ac:dyDescent="0.2">
      <c r="B23" s="18">
        <f t="shared" si="5"/>
        <v>43234</v>
      </c>
      <c r="C23" s="17" t="s">
        <v>1</v>
      </c>
      <c r="D23" s="19">
        <f t="shared" si="6"/>
        <v>43240</v>
      </c>
      <c r="E23" s="20">
        <f t="shared" si="7"/>
        <v>5</v>
      </c>
      <c r="F23" s="21">
        <f t="shared" si="8"/>
        <v>2018</v>
      </c>
      <c r="G23" s="11">
        <f t="shared" si="13"/>
        <v>22</v>
      </c>
      <c r="H23" s="10">
        <f t="shared" si="13"/>
        <v>66</v>
      </c>
      <c r="I23" s="11"/>
      <c r="J23" s="11"/>
      <c r="K23" s="11"/>
      <c r="L23" s="11"/>
      <c r="M23" s="11"/>
      <c r="N23" s="11"/>
      <c r="O23" s="14"/>
      <c r="P23" s="14"/>
      <c r="Q23" s="14"/>
      <c r="R23" s="14"/>
      <c r="S23" s="14"/>
      <c r="T23" s="14"/>
      <c r="V23" s="22">
        <f t="shared" si="11"/>
        <v>12</v>
      </c>
      <c r="W23" s="22">
        <f t="shared" si="11"/>
        <v>0</v>
      </c>
      <c r="X23" s="22">
        <f t="shared" si="11"/>
        <v>0</v>
      </c>
      <c r="Y23" s="22">
        <f t="shared" si="11"/>
        <v>0</v>
      </c>
      <c r="Z23" s="22">
        <f t="shared" si="11"/>
        <v>0</v>
      </c>
      <c r="AA23" s="22">
        <f t="shared" si="11"/>
        <v>0</v>
      </c>
      <c r="AB23" s="1"/>
      <c r="AC23" s="5">
        <f t="shared" si="12"/>
        <v>0</v>
      </c>
      <c r="AD23" s="5">
        <f t="shared" si="12"/>
        <v>0</v>
      </c>
      <c r="AE23" s="5">
        <f t="shared" si="12"/>
        <v>0</v>
      </c>
      <c r="AF23" s="5">
        <f t="shared" si="12"/>
        <v>0</v>
      </c>
      <c r="AG23" s="5">
        <f t="shared" si="12"/>
        <v>0</v>
      </c>
      <c r="AH23" s="5">
        <f t="shared" si="12"/>
        <v>0</v>
      </c>
      <c r="AI23" s="5">
        <f t="shared" si="12"/>
        <v>0</v>
      </c>
      <c r="AJ23" s="5">
        <f t="shared" si="12"/>
        <v>0</v>
      </c>
      <c r="AK23" s="5">
        <f t="shared" si="12"/>
        <v>0</v>
      </c>
      <c r="AL23" s="5">
        <f t="shared" si="12"/>
        <v>0</v>
      </c>
      <c r="AM23" s="5">
        <f t="shared" si="12"/>
        <v>0</v>
      </c>
      <c r="AN23" s="5">
        <f t="shared" si="12"/>
        <v>0</v>
      </c>
      <c r="AO23" s="5">
        <f t="shared" si="12"/>
        <v>0</v>
      </c>
      <c r="AP23" s="5">
        <f t="shared" si="12"/>
        <v>0</v>
      </c>
      <c r="AQ23" s="5">
        <f t="shared" si="12"/>
        <v>0</v>
      </c>
      <c r="AR23" s="5">
        <f t="shared" si="10"/>
        <v>0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2:60" ht="15" hidden="1" outlineLevel="1" x14ac:dyDescent="0.2">
      <c r="B24" s="18">
        <f t="shared" si="5"/>
        <v>43241</v>
      </c>
      <c r="C24" s="17" t="s">
        <v>1</v>
      </c>
      <c r="D24" s="19">
        <f t="shared" si="6"/>
        <v>43247</v>
      </c>
      <c r="E24" s="20">
        <f t="shared" si="7"/>
        <v>5</v>
      </c>
      <c r="F24" s="21">
        <f t="shared" si="8"/>
        <v>2018</v>
      </c>
      <c r="G24" s="11">
        <f t="shared" si="13"/>
        <v>22</v>
      </c>
      <c r="H24" s="10">
        <f t="shared" si="13"/>
        <v>66</v>
      </c>
      <c r="I24" s="11"/>
      <c r="J24" s="11"/>
      <c r="K24" s="11"/>
      <c r="L24" s="11"/>
      <c r="M24" s="11"/>
      <c r="N24" s="11"/>
      <c r="O24" s="14"/>
      <c r="P24" s="14"/>
      <c r="Q24" s="14"/>
      <c r="R24" s="14"/>
      <c r="S24" s="14"/>
      <c r="T24" s="14"/>
      <c r="V24" s="22">
        <f t="shared" si="11"/>
        <v>13</v>
      </c>
      <c r="W24" s="22">
        <f t="shared" si="11"/>
        <v>0</v>
      </c>
      <c r="X24" s="22">
        <f t="shared" si="11"/>
        <v>0</v>
      </c>
      <c r="Y24" s="22">
        <f t="shared" si="11"/>
        <v>0</v>
      </c>
      <c r="Z24" s="22">
        <f t="shared" si="11"/>
        <v>0</v>
      </c>
      <c r="AA24" s="22">
        <f t="shared" si="11"/>
        <v>0</v>
      </c>
      <c r="AB24" s="1"/>
      <c r="AC24" s="5">
        <f t="shared" si="12"/>
        <v>0</v>
      </c>
      <c r="AD24" s="5">
        <f t="shared" si="12"/>
        <v>0</v>
      </c>
      <c r="AE24" s="5">
        <f t="shared" si="12"/>
        <v>0</v>
      </c>
      <c r="AF24" s="5">
        <f t="shared" si="12"/>
        <v>0</v>
      </c>
      <c r="AG24" s="5">
        <f t="shared" si="12"/>
        <v>0</v>
      </c>
      <c r="AH24" s="5">
        <f t="shared" si="12"/>
        <v>0</v>
      </c>
      <c r="AI24" s="5">
        <f t="shared" si="12"/>
        <v>0</v>
      </c>
      <c r="AJ24" s="5">
        <f t="shared" si="12"/>
        <v>0</v>
      </c>
      <c r="AK24" s="5">
        <f t="shared" si="12"/>
        <v>0</v>
      </c>
      <c r="AL24" s="5">
        <f t="shared" si="12"/>
        <v>0</v>
      </c>
      <c r="AM24" s="5">
        <f t="shared" si="12"/>
        <v>0</v>
      </c>
      <c r="AN24" s="5">
        <f t="shared" si="12"/>
        <v>0</v>
      </c>
      <c r="AO24" s="5">
        <f t="shared" si="12"/>
        <v>0</v>
      </c>
      <c r="AP24" s="5">
        <f t="shared" si="12"/>
        <v>0</v>
      </c>
      <c r="AQ24" s="5">
        <f t="shared" si="12"/>
        <v>0</v>
      </c>
      <c r="AR24" s="5">
        <f t="shared" si="10"/>
        <v>0</v>
      </c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2:60" ht="15" hidden="1" outlineLevel="1" x14ac:dyDescent="0.2">
      <c r="B25" s="18">
        <f t="shared" si="5"/>
        <v>43248</v>
      </c>
      <c r="C25" s="17" t="s">
        <v>1</v>
      </c>
      <c r="D25" s="19">
        <f t="shared" si="6"/>
        <v>43254</v>
      </c>
      <c r="E25" s="20">
        <f t="shared" si="7"/>
        <v>5</v>
      </c>
      <c r="F25" s="21">
        <f t="shared" si="8"/>
        <v>2018</v>
      </c>
      <c r="G25" s="11">
        <f t="shared" si="13"/>
        <v>22</v>
      </c>
      <c r="H25" s="10">
        <f t="shared" si="13"/>
        <v>66</v>
      </c>
      <c r="I25" s="11"/>
      <c r="J25" s="11"/>
      <c r="K25" s="11"/>
      <c r="L25" s="11"/>
      <c r="M25" s="11"/>
      <c r="N25" s="11"/>
      <c r="O25" s="14"/>
      <c r="P25" s="14"/>
      <c r="Q25" s="14"/>
      <c r="R25" s="14"/>
      <c r="S25" s="14"/>
      <c r="T25" s="14"/>
      <c r="V25" s="22">
        <f t="shared" si="11"/>
        <v>14</v>
      </c>
      <c r="W25" s="22">
        <f t="shared" si="11"/>
        <v>0</v>
      </c>
      <c r="X25" s="22">
        <f t="shared" si="11"/>
        <v>0</v>
      </c>
      <c r="Y25" s="22">
        <f t="shared" si="11"/>
        <v>0</v>
      </c>
      <c r="Z25" s="22">
        <f t="shared" si="11"/>
        <v>0</v>
      </c>
      <c r="AA25" s="22">
        <f t="shared" si="11"/>
        <v>0</v>
      </c>
      <c r="AB25" s="1"/>
      <c r="AC25" s="5">
        <f t="shared" si="12"/>
        <v>0</v>
      </c>
      <c r="AD25" s="5">
        <f t="shared" si="12"/>
        <v>0</v>
      </c>
      <c r="AE25" s="5">
        <f t="shared" si="12"/>
        <v>0</v>
      </c>
      <c r="AF25" s="5">
        <f t="shared" si="12"/>
        <v>0</v>
      </c>
      <c r="AG25" s="5">
        <f t="shared" si="12"/>
        <v>0</v>
      </c>
      <c r="AH25" s="5">
        <f t="shared" si="12"/>
        <v>0</v>
      </c>
      <c r="AI25" s="5">
        <f t="shared" si="12"/>
        <v>0</v>
      </c>
      <c r="AJ25" s="5">
        <f t="shared" si="12"/>
        <v>0</v>
      </c>
      <c r="AK25" s="5">
        <f t="shared" si="12"/>
        <v>0</v>
      </c>
      <c r="AL25" s="5">
        <f t="shared" si="12"/>
        <v>0</v>
      </c>
      <c r="AM25" s="5">
        <f t="shared" si="12"/>
        <v>0</v>
      </c>
      <c r="AN25" s="5">
        <f t="shared" si="12"/>
        <v>0</v>
      </c>
      <c r="AO25" s="5">
        <f t="shared" si="12"/>
        <v>0</v>
      </c>
      <c r="AP25" s="5">
        <f t="shared" si="12"/>
        <v>0</v>
      </c>
      <c r="AQ25" s="5">
        <f t="shared" si="12"/>
        <v>0</v>
      </c>
      <c r="AR25" s="5">
        <f t="shared" si="10"/>
        <v>0</v>
      </c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2:60" ht="15" hidden="1" outlineLevel="1" x14ac:dyDescent="0.2">
      <c r="B26" s="18">
        <f t="shared" si="5"/>
        <v>43255</v>
      </c>
      <c r="C26" s="17" t="s">
        <v>1</v>
      </c>
      <c r="D26" s="19">
        <f t="shared" si="6"/>
        <v>43261</v>
      </c>
      <c r="E26" s="20">
        <f t="shared" si="7"/>
        <v>6</v>
      </c>
      <c r="F26" s="21">
        <f t="shared" si="8"/>
        <v>2018</v>
      </c>
      <c r="G26" s="11">
        <f t="shared" si="13"/>
        <v>22</v>
      </c>
      <c r="H26" s="10">
        <f t="shared" si="13"/>
        <v>66</v>
      </c>
      <c r="I26" s="11"/>
      <c r="J26" s="11"/>
      <c r="K26" s="11"/>
      <c r="L26" s="11"/>
      <c r="M26" s="11"/>
      <c r="N26" s="11"/>
      <c r="O26" s="14"/>
      <c r="P26" s="14"/>
      <c r="Q26" s="14"/>
      <c r="R26" s="14"/>
      <c r="S26" s="14"/>
      <c r="T26" s="14"/>
      <c r="V26" s="22">
        <f t="shared" si="11"/>
        <v>15</v>
      </c>
      <c r="W26" s="22">
        <f t="shared" si="11"/>
        <v>0</v>
      </c>
      <c r="X26" s="22">
        <f t="shared" si="11"/>
        <v>0</v>
      </c>
      <c r="Y26" s="22">
        <f t="shared" si="11"/>
        <v>0</v>
      </c>
      <c r="Z26" s="22">
        <f t="shared" si="11"/>
        <v>0</v>
      </c>
      <c r="AA26" s="22">
        <f t="shared" si="11"/>
        <v>0</v>
      </c>
      <c r="AB26" s="1"/>
      <c r="AC26" s="5">
        <f t="shared" si="12"/>
        <v>0</v>
      </c>
      <c r="AD26" s="5">
        <f t="shared" si="12"/>
        <v>0</v>
      </c>
      <c r="AE26" s="5">
        <f t="shared" si="12"/>
        <v>0</v>
      </c>
      <c r="AF26" s="5">
        <f t="shared" si="12"/>
        <v>0</v>
      </c>
      <c r="AG26" s="5">
        <f t="shared" si="12"/>
        <v>0</v>
      </c>
      <c r="AH26" s="5">
        <f t="shared" si="12"/>
        <v>0</v>
      </c>
      <c r="AI26" s="5">
        <f t="shared" si="12"/>
        <v>0</v>
      </c>
      <c r="AJ26" s="5">
        <f t="shared" si="12"/>
        <v>0</v>
      </c>
      <c r="AK26" s="5">
        <f t="shared" si="12"/>
        <v>0</v>
      </c>
      <c r="AL26" s="5">
        <f t="shared" si="12"/>
        <v>0</v>
      </c>
      <c r="AM26" s="5">
        <f t="shared" si="12"/>
        <v>0</v>
      </c>
      <c r="AN26" s="5">
        <f t="shared" si="12"/>
        <v>0</v>
      </c>
      <c r="AO26" s="5">
        <f t="shared" si="12"/>
        <v>0</v>
      </c>
      <c r="AP26" s="5">
        <f t="shared" si="12"/>
        <v>0</v>
      </c>
      <c r="AQ26" s="5">
        <f t="shared" si="12"/>
        <v>0</v>
      </c>
      <c r="AR26" s="5">
        <f t="shared" si="10"/>
        <v>0</v>
      </c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2:60" ht="15" hidden="1" outlineLevel="1" x14ac:dyDescent="0.2">
      <c r="B27" s="18">
        <f t="shared" si="5"/>
        <v>43262</v>
      </c>
      <c r="C27" s="17" t="s">
        <v>1</v>
      </c>
      <c r="D27" s="19">
        <f t="shared" si="6"/>
        <v>43268</v>
      </c>
      <c r="E27" s="20">
        <f t="shared" si="7"/>
        <v>6</v>
      </c>
      <c r="F27" s="21">
        <f t="shared" si="8"/>
        <v>2018</v>
      </c>
      <c r="G27" s="11">
        <f t="shared" si="13"/>
        <v>22</v>
      </c>
      <c r="H27" s="10">
        <f t="shared" si="13"/>
        <v>66</v>
      </c>
      <c r="I27" s="11"/>
      <c r="J27" s="11"/>
      <c r="K27" s="11"/>
      <c r="L27" s="11"/>
      <c r="M27" s="11"/>
      <c r="N27" s="11"/>
      <c r="O27" s="14"/>
      <c r="P27" s="14"/>
      <c r="Q27" s="14"/>
      <c r="R27" s="14"/>
      <c r="S27" s="14"/>
      <c r="T27" s="14"/>
      <c r="V27" s="22">
        <f t="shared" si="11"/>
        <v>16</v>
      </c>
      <c r="W27" s="22">
        <f t="shared" si="11"/>
        <v>0</v>
      </c>
      <c r="X27" s="22">
        <f t="shared" si="11"/>
        <v>0</v>
      </c>
      <c r="Y27" s="22">
        <f t="shared" si="11"/>
        <v>0</v>
      </c>
      <c r="Z27" s="22">
        <f t="shared" si="11"/>
        <v>0</v>
      </c>
      <c r="AA27" s="22">
        <f t="shared" si="11"/>
        <v>0</v>
      </c>
      <c r="AB27" s="1"/>
      <c r="AC27" s="5">
        <f t="shared" si="12"/>
        <v>0</v>
      </c>
      <c r="AD27" s="5">
        <f t="shared" si="12"/>
        <v>0</v>
      </c>
      <c r="AE27" s="5">
        <f t="shared" si="12"/>
        <v>0</v>
      </c>
      <c r="AF27" s="5">
        <f t="shared" si="12"/>
        <v>0</v>
      </c>
      <c r="AG27" s="5">
        <f t="shared" si="12"/>
        <v>0</v>
      </c>
      <c r="AH27" s="5">
        <f t="shared" si="12"/>
        <v>0</v>
      </c>
      <c r="AI27" s="5">
        <f t="shared" si="12"/>
        <v>0</v>
      </c>
      <c r="AJ27" s="5">
        <f t="shared" si="12"/>
        <v>0</v>
      </c>
      <c r="AK27" s="5">
        <f t="shared" si="12"/>
        <v>0</v>
      </c>
      <c r="AL27" s="5">
        <f t="shared" si="12"/>
        <v>0</v>
      </c>
      <c r="AM27" s="5">
        <f t="shared" si="12"/>
        <v>0</v>
      </c>
      <c r="AN27" s="5">
        <f t="shared" si="12"/>
        <v>0</v>
      </c>
      <c r="AO27" s="5">
        <f t="shared" si="12"/>
        <v>0</v>
      </c>
      <c r="AP27" s="5">
        <f t="shared" si="12"/>
        <v>0</v>
      </c>
      <c r="AQ27" s="5">
        <f t="shared" si="12"/>
        <v>0</v>
      </c>
      <c r="AR27" s="5">
        <f t="shared" si="10"/>
        <v>0</v>
      </c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2:60" ht="15" hidden="1" outlineLevel="1" x14ac:dyDescent="0.2">
      <c r="B28" s="18">
        <f t="shared" si="5"/>
        <v>43269</v>
      </c>
      <c r="C28" s="17" t="s">
        <v>1</v>
      </c>
      <c r="D28" s="19">
        <f t="shared" si="6"/>
        <v>43275</v>
      </c>
      <c r="E28" s="20">
        <f t="shared" si="7"/>
        <v>6</v>
      </c>
      <c r="F28" s="21">
        <f t="shared" si="8"/>
        <v>2018</v>
      </c>
      <c r="G28" s="11">
        <f t="shared" si="13"/>
        <v>22</v>
      </c>
      <c r="H28" s="10">
        <f t="shared" si="13"/>
        <v>66</v>
      </c>
      <c r="I28" s="11"/>
      <c r="J28" s="11"/>
      <c r="K28" s="11"/>
      <c r="L28" s="11"/>
      <c r="M28" s="11"/>
      <c r="N28" s="11"/>
      <c r="O28" s="14"/>
      <c r="P28" s="14"/>
      <c r="Q28" s="14"/>
      <c r="R28" s="14"/>
      <c r="S28" s="14"/>
      <c r="T28" s="14"/>
      <c r="V28" s="22">
        <f t="shared" si="11"/>
        <v>17</v>
      </c>
      <c r="W28" s="22">
        <f t="shared" si="11"/>
        <v>0</v>
      </c>
      <c r="X28" s="22">
        <f t="shared" si="11"/>
        <v>0</v>
      </c>
      <c r="Y28" s="22">
        <f t="shared" si="11"/>
        <v>0</v>
      </c>
      <c r="Z28" s="22">
        <f t="shared" si="11"/>
        <v>0</v>
      </c>
      <c r="AA28" s="22">
        <f t="shared" si="11"/>
        <v>0</v>
      </c>
      <c r="AB28" s="1"/>
      <c r="AC28" s="5">
        <f t="shared" si="12"/>
        <v>0</v>
      </c>
      <c r="AD28" s="5">
        <f t="shared" si="12"/>
        <v>0</v>
      </c>
      <c r="AE28" s="5">
        <f t="shared" si="12"/>
        <v>0</v>
      </c>
      <c r="AF28" s="5">
        <f t="shared" si="12"/>
        <v>0</v>
      </c>
      <c r="AG28" s="5">
        <f t="shared" si="12"/>
        <v>0</v>
      </c>
      <c r="AH28" s="5">
        <f t="shared" si="12"/>
        <v>0</v>
      </c>
      <c r="AI28" s="5">
        <f t="shared" si="12"/>
        <v>0</v>
      </c>
      <c r="AJ28" s="5">
        <f t="shared" si="12"/>
        <v>0</v>
      </c>
      <c r="AK28" s="5">
        <f t="shared" si="12"/>
        <v>0</v>
      </c>
      <c r="AL28" s="5">
        <f t="shared" si="12"/>
        <v>0</v>
      </c>
      <c r="AM28" s="5">
        <f t="shared" si="12"/>
        <v>0</v>
      </c>
      <c r="AN28" s="5">
        <f t="shared" si="12"/>
        <v>0</v>
      </c>
      <c r="AO28" s="5">
        <f t="shared" si="12"/>
        <v>0</v>
      </c>
      <c r="AP28" s="5">
        <f t="shared" si="12"/>
        <v>0</v>
      </c>
      <c r="AQ28" s="5">
        <f t="shared" si="12"/>
        <v>0</v>
      </c>
      <c r="AR28" s="5">
        <f t="shared" si="10"/>
        <v>0</v>
      </c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2:60" ht="15" hidden="1" outlineLevel="1" x14ac:dyDescent="0.2">
      <c r="B29" s="18">
        <f t="shared" si="5"/>
        <v>43276</v>
      </c>
      <c r="C29" s="17" t="s">
        <v>1</v>
      </c>
      <c r="D29" s="19">
        <f t="shared" si="6"/>
        <v>43282</v>
      </c>
      <c r="E29" s="20">
        <f t="shared" si="7"/>
        <v>6</v>
      </c>
      <c r="F29" s="21">
        <f t="shared" si="8"/>
        <v>2018</v>
      </c>
      <c r="G29" s="11">
        <f t="shared" si="13"/>
        <v>22</v>
      </c>
      <c r="H29" s="10">
        <f t="shared" si="13"/>
        <v>66</v>
      </c>
      <c r="I29" s="11"/>
      <c r="J29" s="11"/>
      <c r="K29" s="11"/>
      <c r="L29" s="11"/>
      <c r="M29" s="11"/>
      <c r="N29" s="11"/>
      <c r="O29" s="14"/>
      <c r="P29" s="14"/>
      <c r="Q29" s="14"/>
      <c r="R29" s="14"/>
      <c r="S29" s="14"/>
      <c r="T29" s="14"/>
      <c r="V29" s="22">
        <f t="shared" si="11"/>
        <v>18</v>
      </c>
      <c r="W29" s="22">
        <f t="shared" si="11"/>
        <v>0</v>
      </c>
      <c r="X29" s="22">
        <f t="shared" si="11"/>
        <v>0</v>
      </c>
      <c r="Y29" s="22">
        <f t="shared" si="11"/>
        <v>0</v>
      </c>
      <c r="Z29" s="22">
        <f t="shared" si="11"/>
        <v>0</v>
      </c>
      <c r="AA29" s="22">
        <f t="shared" si="11"/>
        <v>0</v>
      </c>
      <c r="AB29" s="1"/>
      <c r="AC29" s="5">
        <f t="shared" ref="AC29:AC92" si="14">IF(AND(AS29&gt;=$V$2,AS29&lt;=$AA$2),LOOKUP(AS29,$V$2:$AA$2,$V29:$AA29),IF(AS28="A",0,IF(AC28=$H29,0,IF(AC28=0,0,AC28+1))))</f>
        <v>0</v>
      </c>
      <c r="AD29" s="5">
        <f t="shared" ref="AD29:AD92" si="15">IF(AND(AT29&gt;=$V$2,AT29&lt;=$AA$2),LOOKUP(AT29,$V$2:$AA$2,$V29:$AA29),IF(AT28="A",0,IF(AD28=$H29,0,IF(AD28=0,0,AD28+1))))</f>
        <v>0</v>
      </c>
      <c r="AE29" s="5">
        <f t="shared" ref="AE29:AE92" si="16">IF(AND(AU29&gt;=$V$2,AU29&lt;=$AA$2),LOOKUP(AU29,$V$2:$AA$2,$V29:$AA29),IF(AU28="A",0,IF(AE28=$H29,0,IF(AE28=0,0,AE28+1))))</f>
        <v>0</v>
      </c>
      <c r="AF29" s="5">
        <f t="shared" ref="AF29:AF92" si="17">IF(AND(AV29&gt;=$V$2,AV29&lt;=$AA$2),LOOKUP(AV29,$V$2:$AA$2,$V29:$AA29),IF(AV28="A",0,IF(AF28=$H29,0,IF(AF28=0,0,AF28+1))))</f>
        <v>0</v>
      </c>
      <c r="AG29" s="5">
        <f t="shared" ref="AG29:AG92" si="18">IF(AND(AW29&gt;=$V$2,AW29&lt;=$AA$2),LOOKUP(AW29,$V$2:$AA$2,$V29:$AA29),IF(AW28="A",0,IF(AG28=$H29,0,IF(AG28=0,0,AG28+1))))</f>
        <v>0</v>
      </c>
      <c r="AH29" s="5">
        <f t="shared" ref="AH29:AH92" si="19">IF(AND(AX29&gt;=$V$2,AX29&lt;=$AA$2),LOOKUP(AX29,$V$2:$AA$2,$V29:$AA29),IF(AX28="A",0,IF(AH28=$H29,0,IF(AH28=0,0,AH28+1))))</f>
        <v>0</v>
      </c>
      <c r="AI29" s="5">
        <f t="shared" ref="AI29:AI92" si="20">IF(AND(AY29&gt;=$V$2,AY29&lt;=$AA$2),LOOKUP(AY29,$V$2:$AA$2,$V29:$AA29),IF(AY28="A",0,IF(AI28=$H29,0,IF(AI28=0,0,AI28+1))))</f>
        <v>0</v>
      </c>
      <c r="AJ29" s="5">
        <f t="shared" ref="AJ29:AJ92" si="21">IF(AND(AZ29&gt;=$V$2,AZ29&lt;=$AA$2),LOOKUP(AZ29,$V$2:$AA$2,$V29:$AA29),IF(AZ28="A",0,IF(AJ28=$H29,0,IF(AJ28=0,0,AJ28+1))))</f>
        <v>0</v>
      </c>
      <c r="AK29" s="5">
        <f t="shared" ref="AK29:AK92" si="22">IF(AND(BA29&gt;=$V$2,BA29&lt;=$AA$2),LOOKUP(BA29,$V$2:$AA$2,$V29:$AA29),IF(BA28="A",0,IF(AK28=$H29,0,IF(AK28=0,0,AK28+1))))</f>
        <v>0</v>
      </c>
      <c r="AL29" s="5">
        <f t="shared" ref="AL29:AL92" si="23">IF(AND(BB29&gt;=$V$2,BB29&lt;=$AA$2),LOOKUP(BB29,$V$2:$AA$2,$V29:$AA29),IF(BB28="A",0,IF(AL28=$H29,0,IF(AL28=0,0,AL28+1))))</f>
        <v>0</v>
      </c>
      <c r="AM29" s="5">
        <f t="shared" ref="AM29:AM92" si="24">IF(AND(BC29&gt;=$V$2,BC29&lt;=$AA$2),LOOKUP(BC29,$V$2:$AA$2,$V29:$AA29),IF(BC28="A",0,IF(AM28=$H29,0,IF(AM28=0,0,AM28+1))))</f>
        <v>0</v>
      </c>
      <c r="AN29" s="5">
        <f t="shared" ref="AN29:AN92" si="25">IF(AND(BD29&gt;=$V$2,BD29&lt;=$AA$2),LOOKUP(BD29,$V$2:$AA$2,$V29:$AA29),IF(BD28="A",0,IF(AN28=$H29,0,IF(AN28=0,0,AN28+1))))</f>
        <v>0</v>
      </c>
      <c r="AO29" s="5">
        <f t="shared" ref="AO29:AO92" si="26">IF(AND(BE29&gt;=$V$2,BE29&lt;=$AA$2),LOOKUP(BE29,$V$2:$AA$2,$V29:$AA29),IF(BE28="A",0,IF(AO28=$H29,0,IF(AO28=0,0,AO28+1))))</f>
        <v>0</v>
      </c>
      <c r="AP29" s="5">
        <f t="shared" ref="AP29:AP92" si="27">IF(AND(BF29&gt;=$V$2,BF29&lt;=$AA$2),LOOKUP(BF29,$V$2:$AA$2,$V29:$AA29),IF(BF28="A",0,IF(AP28=$H29,0,IF(AP28=0,0,AP28+1))))</f>
        <v>0</v>
      </c>
      <c r="AQ29" s="5">
        <f t="shared" ref="AQ29:AQ92" si="28">IF(AND(BG29&gt;=$V$2,BG29&lt;=$AA$2),LOOKUP(BG29,$V$2:$AA$2,$V29:$AA29),IF(BG28="A",0,IF(AQ28=$H29,0,IF(AQ28=0,0,AQ28+1))))</f>
        <v>0</v>
      </c>
      <c r="AR29" s="5">
        <f t="shared" ref="AR29:AR92" si="29">IF(AND(BH29&gt;=$V$2,BH29&lt;=$AA$2),LOOKUP(BH29,$V$2:$AA$2,$V29:$AA29),IF(BH28="A",0,IF(AR28=$H29,0,IF(AR28=0,0,AR28+1))))</f>
        <v>0</v>
      </c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2:60" ht="15" hidden="1" outlineLevel="1" x14ac:dyDescent="0.2">
      <c r="B30" s="18">
        <f t="shared" si="5"/>
        <v>43283</v>
      </c>
      <c r="C30" s="17" t="s">
        <v>1</v>
      </c>
      <c r="D30" s="19">
        <f t="shared" si="6"/>
        <v>43289</v>
      </c>
      <c r="E30" s="20">
        <f t="shared" si="7"/>
        <v>7</v>
      </c>
      <c r="F30" s="21">
        <f t="shared" si="8"/>
        <v>2018</v>
      </c>
      <c r="G30" s="11">
        <f t="shared" si="13"/>
        <v>22</v>
      </c>
      <c r="H30" s="10">
        <f t="shared" si="13"/>
        <v>66</v>
      </c>
      <c r="I30" s="11"/>
      <c r="J30" s="11"/>
      <c r="K30" s="11"/>
      <c r="L30" s="11"/>
      <c r="M30" s="11"/>
      <c r="N30" s="11"/>
      <c r="O30" s="14"/>
      <c r="P30" s="14"/>
      <c r="Q30" s="14"/>
      <c r="R30" s="14"/>
      <c r="S30" s="14"/>
      <c r="T30" s="14"/>
      <c r="V30" s="22">
        <f t="shared" si="11"/>
        <v>19</v>
      </c>
      <c r="W30" s="22">
        <f t="shared" si="11"/>
        <v>0</v>
      </c>
      <c r="X30" s="22">
        <f t="shared" si="11"/>
        <v>0</v>
      </c>
      <c r="Y30" s="22">
        <f t="shared" si="11"/>
        <v>0</v>
      </c>
      <c r="Z30" s="22">
        <f t="shared" si="11"/>
        <v>0</v>
      </c>
      <c r="AA30" s="22">
        <f t="shared" si="11"/>
        <v>0</v>
      </c>
      <c r="AB30" s="1"/>
      <c r="AC30" s="5">
        <f t="shared" si="14"/>
        <v>0</v>
      </c>
      <c r="AD30" s="5">
        <f t="shared" si="15"/>
        <v>0</v>
      </c>
      <c r="AE30" s="5">
        <f t="shared" si="16"/>
        <v>0</v>
      </c>
      <c r="AF30" s="5">
        <f t="shared" si="17"/>
        <v>0</v>
      </c>
      <c r="AG30" s="5">
        <f t="shared" si="18"/>
        <v>0</v>
      </c>
      <c r="AH30" s="5">
        <f t="shared" si="19"/>
        <v>0</v>
      </c>
      <c r="AI30" s="5">
        <f t="shared" si="20"/>
        <v>0</v>
      </c>
      <c r="AJ30" s="5">
        <f t="shared" si="21"/>
        <v>0</v>
      </c>
      <c r="AK30" s="5">
        <f t="shared" si="22"/>
        <v>0</v>
      </c>
      <c r="AL30" s="5">
        <f t="shared" si="23"/>
        <v>0</v>
      </c>
      <c r="AM30" s="5">
        <f t="shared" si="24"/>
        <v>0</v>
      </c>
      <c r="AN30" s="5">
        <f t="shared" si="25"/>
        <v>0</v>
      </c>
      <c r="AO30" s="5">
        <f t="shared" si="26"/>
        <v>0</v>
      </c>
      <c r="AP30" s="5">
        <f t="shared" si="27"/>
        <v>0</v>
      </c>
      <c r="AQ30" s="5">
        <f t="shared" si="28"/>
        <v>0</v>
      </c>
      <c r="AR30" s="5">
        <f t="shared" si="29"/>
        <v>0</v>
      </c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2:60" ht="15" hidden="1" outlineLevel="1" x14ac:dyDescent="0.2">
      <c r="B31" s="18">
        <f t="shared" si="5"/>
        <v>43290</v>
      </c>
      <c r="C31" s="17" t="s">
        <v>1</v>
      </c>
      <c r="D31" s="19">
        <f t="shared" si="6"/>
        <v>43296</v>
      </c>
      <c r="E31" s="20">
        <f t="shared" si="7"/>
        <v>7</v>
      </c>
      <c r="F31" s="21">
        <f t="shared" si="8"/>
        <v>2018</v>
      </c>
      <c r="G31" s="11">
        <f t="shared" si="13"/>
        <v>22</v>
      </c>
      <c r="H31" s="10">
        <f t="shared" si="13"/>
        <v>66</v>
      </c>
      <c r="I31" s="11"/>
      <c r="J31" s="11"/>
      <c r="K31" s="11"/>
      <c r="L31" s="11"/>
      <c r="M31" s="11"/>
      <c r="N31" s="11"/>
      <c r="O31" s="14"/>
      <c r="P31" s="14"/>
      <c r="Q31" s="14"/>
      <c r="R31" s="14"/>
      <c r="S31" s="14"/>
      <c r="T31" s="14"/>
      <c r="V31" s="22">
        <f t="shared" si="11"/>
        <v>20</v>
      </c>
      <c r="W31" s="22">
        <f t="shared" si="11"/>
        <v>0</v>
      </c>
      <c r="X31" s="22">
        <f t="shared" si="11"/>
        <v>0</v>
      </c>
      <c r="Y31" s="22">
        <f t="shared" si="11"/>
        <v>0</v>
      </c>
      <c r="Z31" s="22">
        <f t="shared" si="11"/>
        <v>0</v>
      </c>
      <c r="AA31" s="22">
        <f t="shared" si="11"/>
        <v>0</v>
      </c>
      <c r="AB31" s="1"/>
      <c r="AC31" s="5">
        <f t="shared" si="14"/>
        <v>0</v>
      </c>
      <c r="AD31" s="5">
        <f t="shared" si="15"/>
        <v>0</v>
      </c>
      <c r="AE31" s="5">
        <f t="shared" si="16"/>
        <v>0</v>
      </c>
      <c r="AF31" s="5">
        <f t="shared" si="17"/>
        <v>0</v>
      </c>
      <c r="AG31" s="5">
        <f t="shared" si="18"/>
        <v>0</v>
      </c>
      <c r="AH31" s="5">
        <f t="shared" si="19"/>
        <v>0</v>
      </c>
      <c r="AI31" s="5">
        <f t="shared" si="20"/>
        <v>0</v>
      </c>
      <c r="AJ31" s="5">
        <f t="shared" si="21"/>
        <v>0</v>
      </c>
      <c r="AK31" s="5">
        <f t="shared" si="22"/>
        <v>0</v>
      </c>
      <c r="AL31" s="5">
        <f t="shared" si="23"/>
        <v>0</v>
      </c>
      <c r="AM31" s="5">
        <f t="shared" si="24"/>
        <v>0</v>
      </c>
      <c r="AN31" s="5">
        <f t="shared" si="25"/>
        <v>0</v>
      </c>
      <c r="AO31" s="5">
        <f t="shared" si="26"/>
        <v>0</v>
      </c>
      <c r="AP31" s="5">
        <f t="shared" si="27"/>
        <v>0</v>
      </c>
      <c r="AQ31" s="5">
        <f t="shared" si="28"/>
        <v>0</v>
      </c>
      <c r="AR31" s="5">
        <f t="shared" si="29"/>
        <v>0</v>
      </c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2:60" ht="15" hidden="1" outlineLevel="1" x14ac:dyDescent="0.2">
      <c r="B32" s="18">
        <f t="shared" si="5"/>
        <v>43297</v>
      </c>
      <c r="C32" s="17" t="s">
        <v>1</v>
      </c>
      <c r="D32" s="19">
        <f t="shared" si="6"/>
        <v>43303</v>
      </c>
      <c r="E32" s="20">
        <f t="shared" si="7"/>
        <v>7</v>
      </c>
      <c r="F32" s="21">
        <f t="shared" si="8"/>
        <v>2018</v>
      </c>
      <c r="G32" s="11">
        <f t="shared" si="13"/>
        <v>22</v>
      </c>
      <c r="H32" s="10">
        <f t="shared" si="13"/>
        <v>66</v>
      </c>
      <c r="I32" s="11"/>
      <c r="J32" s="11"/>
      <c r="K32" s="11"/>
      <c r="L32" s="11"/>
      <c r="M32" s="11"/>
      <c r="N32" s="11"/>
      <c r="O32" s="14"/>
      <c r="P32" s="14"/>
      <c r="Q32" s="14"/>
      <c r="R32" s="14"/>
      <c r="S32" s="14"/>
      <c r="T32" s="14"/>
      <c r="V32" s="22">
        <f t="shared" si="11"/>
        <v>21</v>
      </c>
      <c r="W32" s="22">
        <f t="shared" si="11"/>
        <v>0</v>
      </c>
      <c r="X32" s="22">
        <f t="shared" si="11"/>
        <v>0</v>
      </c>
      <c r="Y32" s="22">
        <f t="shared" si="11"/>
        <v>0</v>
      </c>
      <c r="Z32" s="22">
        <f t="shared" si="11"/>
        <v>0</v>
      </c>
      <c r="AA32" s="22">
        <f t="shared" si="11"/>
        <v>0</v>
      </c>
      <c r="AB32" s="1"/>
      <c r="AC32" s="5">
        <f t="shared" si="14"/>
        <v>0</v>
      </c>
      <c r="AD32" s="5">
        <f t="shared" si="15"/>
        <v>0</v>
      </c>
      <c r="AE32" s="5">
        <f t="shared" si="16"/>
        <v>0</v>
      </c>
      <c r="AF32" s="5">
        <f t="shared" si="17"/>
        <v>0</v>
      </c>
      <c r="AG32" s="5">
        <f t="shared" si="18"/>
        <v>0</v>
      </c>
      <c r="AH32" s="5">
        <f t="shared" si="19"/>
        <v>0</v>
      </c>
      <c r="AI32" s="5">
        <f t="shared" si="20"/>
        <v>0</v>
      </c>
      <c r="AJ32" s="5">
        <f t="shared" si="21"/>
        <v>0</v>
      </c>
      <c r="AK32" s="5">
        <f t="shared" si="22"/>
        <v>0</v>
      </c>
      <c r="AL32" s="5">
        <f t="shared" si="23"/>
        <v>0</v>
      </c>
      <c r="AM32" s="5">
        <f t="shared" si="24"/>
        <v>0</v>
      </c>
      <c r="AN32" s="5">
        <f t="shared" si="25"/>
        <v>0</v>
      </c>
      <c r="AO32" s="5">
        <f t="shared" si="26"/>
        <v>0</v>
      </c>
      <c r="AP32" s="5">
        <f t="shared" si="27"/>
        <v>0</v>
      </c>
      <c r="AQ32" s="5">
        <f t="shared" si="28"/>
        <v>0</v>
      </c>
      <c r="AR32" s="5">
        <f t="shared" si="29"/>
        <v>0</v>
      </c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2:60" ht="15" hidden="1" outlineLevel="1" x14ac:dyDescent="0.2">
      <c r="B33" s="18">
        <f t="shared" si="5"/>
        <v>43304</v>
      </c>
      <c r="C33" s="17" t="s">
        <v>1</v>
      </c>
      <c r="D33" s="19">
        <f t="shared" si="6"/>
        <v>43310</v>
      </c>
      <c r="E33" s="20">
        <f t="shared" si="7"/>
        <v>7</v>
      </c>
      <c r="F33" s="21">
        <f t="shared" si="8"/>
        <v>2018</v>
      </c>
      <c r="G33" s="11">
        <f t="shared" si="13"/>
        <v>22</v>
      </c>
      <c r="H33" s="10">
        <f t="shared" si="13"/>
        <v>66</v>
      </c>
      <c r="I33" s="11"/>
      <c r="J33" s="11"/>
      <c r="K33" s="11"/>
      <c r="L33" s="11"/>
      <c r="M33" s="11"/>
      <c r="N33" s="11"/>
      <c r="O33" s="14"/>
      <c r="P33" s="14"/>
      <c r="Q33" s="14"/>
      <c r="R33" s="14"/>
      <c r="S33" s="14"/>
      <c r="T33" s="14"/>
      <c r="V33" s="22">
        <f t="shared" si="11"/>
        <v>22</v>
      </c>
      <c r="W33" s="22">
        <f t="shared" si="11"/>
        <v>0</v>
      </c>
      <c r="X33" s="22">
        <f t="shared" si="11"/>
        <v>0</v>
      </c>
      <c r="Y33" s="22">
        <f t="shared" si="11"/>
        <v>0</v>
      </c>
      <c r="Z33" s="22">
        <f t="shared" si="11"/>
        <v>0</v>
      </c>
      <c r="AA33" s="22">
        <f t="shared" si="11"/>
        <v>0</v>
      </c>
      <c r="AB33" s="1"/>
      <c r="AC33" s="5">
        <f t="shared" si="14"/>
        <v>22</v>
      </c>
      <c r="AD33" s="5">
        <f t="shared" si="15"/>
        <v>0</v>
      </c>
      <c r="AE33" s="5">
        <f t="shared" si="16"/>
        <v>0</v>
      </c>
      <c r="AF33" s="5">
        <f t="shared" si="17"/>
        <v>0</v>
      </c>
      <c r="AG33" s="5">
        <f t="shared" si="18"/>
        <v>0</v>
      </c>
      <c r="AH33" s="5">
        <f t="shared" si="19"/>
        <v>0</v>
      </c>
      <c r="AI33" s="5">
        <f t="shared" si="20"/>
        <v>0</v>
      </c>
      <c r="AJ33" s="5">
        <f t="shared" si="21"/>
        <v>0</v>
      </c>
      <c r="AK33" s="5">
        <f t="shared" si="22"/>
        <v>0</v>
      </c>
      <c r="AL33" s="5">
        <f t="shared" si="23"/>
        <v>0</v>
      </c>
      <c r="AM33" s="5">
        <f t="shared" si="24"/>
        <v>0</v>
      </c>
      <c r="AN33" s="5">
        <f t="shared" si="25"/>
        <v>0</v>
      </c>
      <c r="AO33" s="5">
        <f t="shared" si="26"/>
        <v>0</v>
      </c>
      <c r="AP33" s="5">
        <f t="shared" si="27"/>
        <v>0</v>
      </c>
      <c r="AQ33" s="5">
        <f t="shared" si="28"/>
        <v>0</v>
      </c>
      <c r="AR33" s="5">
        <f t="shared" si="29"/>
        <v>0</v>
      </c>
      <c r="AS33" s="10">
        <v>1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2:60" ht="15" hidden="1" outlineLevel="1" x14ac:dyDescent="0.2">
      <c r="B34" s="18">
        <f t="shared" si="5"/>
        <v>43311</v>
      </c>
      <c r="C34" s="17" t="s">
        <v>1</v>
      </c>
      <c r="D34" s="19">
        <f t="shared" si="6"/>
        <v>43317</v>
      </c>
      <c r="E34" s="20">
        <f t="shared" si="7"/>
        <v>7</v>
      </c>
      <c r="F34" s="21">
        <f t="shared" si="8"/>
        <v>2018</v>
      </c>
      <c r="G34" s="11">
        <f t="shared" si="13"/>
        <v>22</v>
      </c>
      <c r="H34" s="10">
        <f t="shared" si="13"/>
        <v>66</v>
      </c>
      <c r="I34" s="11"/>
      <c r="J34" s="11"/>
      <c r="K34" s="11"/>
      <c r="L34" s="11"/>
      <c r="M34" s="11"/>
      <c r="N34" s="11"/>
      <c r="O34" s="14"/>
      <c r="P34" s="14"/>
      <c r="Q34" s="14"/>
      <c r="R34" s="14"/>
      <c r="S34" s="14"/>
      <c r="T34" s="14"/>
      <c r="V34" s="22">
        <f t="shared" si="11"/>
        <v>0</v>
      </c>
      <c r="W34" s="22">
        <f t="shared" si="11"/>
        <v>0</v>
      </c>
      <c r="X34" s="22">
        <f t="shared" si="11"/>
        <v>0</v>
      </c>
      <c r="Y34" s="22">
        <f t="shared" si="11"/>
        <v>0</v>
      </c>
      <c r="Z34" s="22">
        <f t="shared" si="11"/>
        <v>0</v>
      </c>
      <c r="AA34" s="22">
        <f t="shared" si="11"/>
        <v>0</v>
      </c>
      <c r="AB34" s="1"/>
      <c r="AC34" s="5">
        <f t="shared" si="14"/>
        <v>23</v>
      </c>
      <c r="AD34" s="5">
        <f t="shared" si="15"/>
        <v>0</v>
      </c>
      <c r="AE34" s="5">
        <f t="shared" si="16"/>
        <v>0</v>
      </c>
      <c r="AF34" s="5">
        <f t="shared" si="17"/>
        <v>0</v>
      </c>
      <c r="AG34" s="5">
        <f t="shared" si="18"/>
        <v>0</v>
      </c>
      <c r="AH34" s="5">
        <f t="shared" si="19"/>
        <v>0</v>
      </c>
      <c r="AI34" s="5">
        <f t="shared" si="20"/>
        <v>0</v>
      </c>
      <c r="AJ34" s="5">
        <f t="shared" si="21"/>
        <v>0</v>
      </c>
      <c r="AK34" s="5">
        <f t="shared" si="22"/>
        <v>0</v>
      </c>
      <c r="AL34" s="5">
        <f t="shared" si="23"/>
        <v>0</v>
      </c>
      <c r="AM34" s="5">
        <f t="shared" si="24"/>
        <v>0</v>
      </c>
      <c r="AN34" s="5">
        <f t="shared" si="25"/>
        <v>0</v>
      </c>
      <c r="AO34" s="5">
        <f t="shared" si="26"/>
        <v>0</v>
      </c>
      <c r="AP34" s="5">
        <f t="shared" si="27"/>
        <v>0</v>
      </c>
      <c r="AQ34" s="5">
        <f t="shared" si="28"/>
        <v>0</v>
      </c>
      <c r="AR34" s="5">
        <f t="shared" si="29"/>
        <v>0</v>
      </c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2:60" ht="15" hidden="1" outlineLevel="1" x14ac:dyDescent="0.2">
      <c r="B35" s="18">
        <f t="shared" si="5"/>
        <v>43318</v>
      </c>
      <c r="C35" s="17" t="s">
        <v>1</v>
      </c>
      <c r="D35" s="19">
        <f t="shared" si="6"/>
        <v>43324</v>
      </c>
      <c r="E35" s="20">
        <f t="shared" si="7"/>
        <v>8</v>
      </c>
      <c r="F35" s="21">
        <f t="shared" si="8"/>
        <v>2018</v>
      </c>
      <c r="G35" s="11">
        <f t="shared" si="13"/>
        <v>22</v>
      </c>
      <c r="H35" s="10">
        <f t="shared" si="13"/>
        <v>66</v>
      </c>
      <c r="I35" s="11"/>
      <c r="J35" s="11"/>
      <c r="K35" s="11"/>
      <c r="L35" s="11"/>
      <c r="M35" s="11"/>
      <c r="N35" s="11"/>
      <c r="O35" s="14"/>
      <c r="P35" s="14"/>
      <c r="Q35" s="14"/>
      <c r="R35" s="14"/>
      <c r="S35" s="14"/>
      <c r="T35" s="14"/>
      <c r="V35" s="22">
        <f t="shared" si="11"/>
        <v>0</v>
      </c>
      <c r="W35" s="22">
        <f t="shared" si="11"/>
        <v>0</v>
      </c>
      <c r="X35" s="22">
        <f t="shared" si="11"/>
        <v>0</v>
      </c>
      <c r="Y35" s="22">
        <f t="shared" si="11"/>
        <v>0</v>
      </c>
      <c r="Z35" s="22">
        <f t="shared" si="11"/>
        <v>0</v>
      </c>
      <c r="AA35" s="22">
        <f t="shared" si="11"/>
        <v>0</v>
      </c>
      <c r="AB35" s="1"/>
      <c r="AC35" s="5">
        <f t="shared" si="14"/>
        <v>24</v>
      </c>
      <c r="AD35" s="5">
        <f t="shared" si="15"/>
        <v>0</v>
      </c>
      <c r="AE35" s="5">
        <f t="shared" si="16"/>
        <v>0</v>
      </c>
      <c r="AF35" s="5">
        <f t="shared" si="17"/>
        <v>0</v>
      </c>
      <c r="AG35" s="5">
        <f t="shared" si="18"/>
        <v>0</v>
      </c>
      <c r="AH35" s="5">
        <f t="shared" si="19"/>
        <v>0</v>
      </c>
      <c r="AI35" s="5">
        <f t="shared" si="20"/>
        <v>0</v>
      </c>
      <c r="AJ35" s="5">
        <f t="shared" si="21"/>
        <v>0</v>
      </c>
      <c r="AK35" s="5">
        <f t="shared" si="22"/>
        <v>0</v>
      </c>
      <c r="AL35" s="5">
        <f t="shared" si="23"/>
        <v>0</v>
      </c>
      <c r="AM35" s="5">
        <f t="shared" si="24"/>
        <v>0</v>
      </c>
      <c r="AN35" s="5">
        <f t="shared" si="25"/>
        <v>0</v>
      </c>
      <c r="AO35" s="5">
        <f t="shared" si="26"/>
        <v>0</v>
      </c>
      <c r="AP35" s="5">
        <f t="shared" si="27"/>
        <v>0</v>
      </c>
      <c r="AQ35" s="5">
        <f t="shared" si="28"/>
        <v>0</v>
      </c>
      <c r="AR35" s="5">
        <f t="shared" si="29"/>
        <v>0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2:60" ht="15" hidden="1" outlineLevel="1" x14ac:dyDescent="0.2">
      <c r="B36" s="18">
        <f t="shared" si="5"/>
        <v>43325</v>
      </c>
      <c r="C36" s="17" t="s">
        <v>1</v>
      </c>
      <c r="D36" s="19">
        <f t="shared" si="6"/>
        <v>43331</v>
      </c>
      <c r="E36" s="20">
        <f t="shared" si="7"/>
        <v>8</v>
      </c>
      <c r="F36" s="21">
        <f t="shared" si="8"/>
        <v>2018</v>
      </c>
      <c r="G36" s="11">
        <f t="shared" si="13"/>
        <v>22</v>
      </c>
      <c r="H36" s="10">
        <f t="shared" si="13"/>
        <v>66</v>
      </c>
      <c r="I36" s="11"/>
      <c r="J36" s="11"/>
      <c r="K36" s="11"/>
      <c r="L36" s="11"/>
      <c r="M36" s="11"/>
      <c r="N36" s="11"/>
      <c r="O36" s="14"/>
      <c r="P36" s="14"/>
      <c r="Q36" s="14"/>
      <c r="R36" s="14"/>
      <c r="S36" s="14"/>
      <c r="T36" s="14"/>
      <c r="V36" s="22">
        <f t="shared" ref="V36:AA51" si="30">IF(I36&gt;0,I36,IF(O36=1,$B36+2,IF(O35=1,1,IF(O35=2,0,IF(V35=$G35,0,(IF(V35&gt;=1,V35+1,0)))))))</f>
        <v>0</v>
      </c>
      <c r="W36" s="22">
        <f t="shared" si="30"/>
        <v>0</v>
      </c>
      <c r="X36" s="22">
        <f t="shared" si="30"/>
        <v>0</v>
      </c>
      <c r="Y36" s="22">
        <f t="shared" si="30"/>
        <v>0</v>
      </c>
      <c r="Z36" s="22">
        <f t="shared" si="30"/>
        <v>0</v>
      </c>
      <c r="AA36" s="22">
        <f t="shared" si="30"/>
        <v>0</v>
      </c>
      <c r="AB36" s="1"/>
      <c r="AC36" s="5">
        <f t="shared" si="14"/>
        <v>25</v>
      </c>
      <c r="AD36" s="5">
        <f t="shared" si="15"/>
        <v>0</v>
      </c>
      <c r="AE36" s="5">
        <f t="shared" si="16"/>
        <v>0</v>
      </c>
      <c r="AF36" s="5">
        <f t="shared" si="17"/>
        <v>0</v>
      </c>
      <c r="AG36" s="5">
        <f t="shared" si="18"/>
        <v>0</v>
      </c>
      <c r="AH36" s="5">
        <f t="shared" si="19"/>
        <v>0</v>
      </c>
      <c r="AI36" s="5">
        <f t="shared" si="20"/>
        <v>0</v>
      </c>
      <c r="AJ36" s="5">
        <f t="shared" si="21"/>
        <v>0</v>
      </c>
      <c r="AK36" s="5">
        <f t="shared" si="22"/>
        <v>0</v>
      </c>
      <c r="AL36" s="5">
        <f t="shared" si="23"/>
        <v>0</v>
      </c>
      <c r="AM36" s="5">
        <f t="shared" si="24"/>
        <v>0</v>
      </c>
      <c r="AN36" s="5">
        <f t="shared" si="25"/>
        <v>0</v>
      </c>
      <c r="AO36" s="5">
        <f t="shared" si="26"/>
        <v>0</v>
      </c>
      <c r="AP36" s="5">
        <f t="shared" si="27"/>
        <v>0</v>
      </c>
      <c r="AQ36" s="5">
        <f t="shared" si="28"/>
        <v>0</v>
      </c>
      <c r="AR36" s="5">
        <f t="shared" si="29"/>
        <v>0</v>
      </c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2:60" ht="15" hidden="1" outlineLevel="1" x14ac:dyDescent="0.2">
      <c r="B37" s="18">
        <f t="shared" si="5"/>
        <v>43332</v>
      </c>
      <c r="C37" s="17" t="s">
        <v>1</v>
      </c>
      <c r="D37" s="19">
        <f t="shared" si="6"/>
        <v>43338</v>
      </c>
      <c r="E37" s="20">
        <f t="shared" si="7"/>
        <v>8</v>
      </c>
      <c r="F37" s="21">
        <f t="shared" si="8"/>
        <v>2018</v>
      </c>
      <c r="G37" s="11">
        <f t="shared" si="13"/>
        <v>22</v>
      </c>
      <c r="H37" s="10">
        <f t="shared" si="13"/>
        <v>66</v>
      </c>
      <c r="I37" s="11"/>
      <c r="J37" s="11"/>
      <c r="K37" s="11"/>
      <c r="L37" s="11"/>
      <c r="M37" s="11"/>
      <c r="N37" s="11"/>
      <c r="O37" s="14">
        <v>1</v>
      </c>
      <c r="P37" s="14"/>
      <c r="Q37" s="14"/>
      <c r="R37" s="14"/>
      <c r="S37" s="14"/>
      <c r="T37" s="14"/>
      <c r="V37" s="22">
        <f t="shared" si="30"/>
        <v>43334</v>
      </c>
      <c r="W37" s="22">
        <f t="shared" si="30"/>
        <v>0</v>
      </c>
      <c r="X37" s="22">
        <f t="shared" si="30"/>
        <v>0</v>
      </c>
      <c r="Y37" s="22">
        <f t="shared" si="30"/>
        <v>0</v>
      </c>
      <c r="Z37" s="22">
        <f t="shared" si="30"/>
        <v>0</v>
      </c>
      <c r="AA37" s="22">
        <f t="shared" si="30"/>
        <v>0</v>
      </c>
      <c r="AB37" s="1"/>
      <c r="AC37" s="5">
        <f t="shared" si="14"/>
        <v>26</v>
      </c>
      <c r="AD37" s="5">
        <f t="shared" si="15"/>
        <v>0</v>
      </c>
      <c r="AE37" s="5">
        <f t="shared" si="16"/>
        <v>0</v>
      </c>
      <c r="AF37" s="5">
        <f t="shared" si="17"/>
        <v>0</v>
      </c>
      <c r="AG37" s="5">
        <f t="shared" si="18"/>
        <v>0</v>
      </c>
      <c r="AH37" s="5">
        <f t="shared" si="19"/>
        <v>0</v>
      </c>
      <c r="AI37" s="5">
        <f t="shared" si="20"/>
        <v>0</v>
      </c>
      <c r="AJ37" s="5">
        <f t="shared" si="21"/>
        <v>0</v>
      </c>
      <c r="AK37" s="5">
        <f t="shared" si="22"/>
        <v>0</v>
      </c>
      <c r="AL37" s="5">
        <f t="shared" si="23"/>
        <v>0</v>
      </c>
      <c r="AM37" s="5">
        <f t="shared" si="24"/>
        <v>0</v>
      </c>
      <c r="AN37" s="5">
        <f t="shared" si="25"/>
        <v>0</v>
      </c>
      <c r="AO37" s="5">
        <f t="shared" si="26"/>
        <v>0</v>
      </c>
      <c r="AP37" s="5">
        <f t="shared" si="27"/>
        <v>0</v>
      </c>
      <c r="AQ37" s="5">
        <f t="shared" si="28"/>
        <v>0</v>
      </c>
      <c r="AR37" s="5">
        <f t="shared" si="29"/>
        <v>0</v>
      </c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2:60" ht="15" hidden="1" outlineLevel="1" x14ac:dyDescent="0.2">
      <c r="B38" s="18">
        <f t="shared" si="5"/>
        <v>43339</v>
      </c>
      <c r="C38" s="17" t="s">
        <v>1</v>
      </c>
      <c r="D38" s="19">
        <f t="shared" si="6"/>
        <v>43345</v>
      </c>
      <c r="E38" s="20">
        <f t="shared" si="7"/>
        <v>8</v>
      </c>
      <c r="F38" s="21">
        <f t="shared" si="8"/>
        <v>2018</v>
      </c>
      <c r="G38" s="11">
        <f t="shared" ref="G38:H53" si="31">G37</f>
        <v>22</v>
      </c>
      <c r="H38" s="10">
        <f t="shared" si="31"/>
        <v>66</v>
      </c>
      <c r="I38" s="11"/>
      <c r="J38" s="11"/>
      <c r="K38" s="11"/>
      <c r="L38" s="11"/>
      <c r="M38" s="11"/>
      <c r="N38" s="11"/>
      <c r="O38" s="14"/>
      <c r="P38" s="14"/>
      <c r="Q38" s="14"/>
      <c r="R38" s="14"/>
      <c r="S38" s="14"/>
      <c r="T38" s="14"/>
      <c r="V38" s="22">
        <f t="shared" si="30"/>
        <v>1</v>
      </c>
      <c r="W38" s="22">
        <f t="shared" si="30"/>
        <v>0</v>
      </c>
      <c r="X38" s="22">
        <f t="shared" si="30"/>
        <v>0</v>
      </c>
      <c r="Y38" s="22">
        <f t="shared" si="30"/>
        <v>0</v>
      </c>
      <c r="Z38" s="22">
        <f t="shared" si="30"/>
        <v>0</v>
      </c>
      <c r="AA38" s="22">
        <f t="shared" si="30"/>
        <v>0</v>
      </c>
      <c r="AB38" s="1"/>
      <c r="AC38" s="5">
        <f t="shared" si="14"/>
        <v>27</v>
      </c>
      <c r="AD38" s="5">
        <f t="shared" si="15"/>
        <v>0</v>
      </c>
      <c r="AE38" s="5">
        <f t="shared" si="16"/>
        <v>0</v>
      </c>
      <c r="AF38" s="5">
        <f t="shared" si="17"/>
        <v>0</v>
      </c>
      <c r="AG38" s="5">
        <f t="shared" si="18"/>
        <v>0</v>
      </c>
      <c r="AH38" s="5">
        <f t="shared" si="19"/>
        <v>0</v>
      </c>
      <c r="AI38" s="5">
        <f t="shared" si="20"/>
        <v>0</v>
      </c>
      <c r="AJ38" s="5">
        <f t="shared" si="21"/>
        <v>0</v>
      </c>
      <c r="AK38" s="5">
        <f t="shared" si="22"/>
        <v>0</v>
      </c>
      <c r="AL38" s="5">
        <f t="shared" si="23"/>
        <v>0</v>
      </c>
      <c r="AM38" s="5">
        <f t="shared" si="24"/>
        <v>0</v>
      </c>
      <c r="AN38" s="5">
        <f t="shared" si="25"/>
        <v>0</v>
      </c>
      <c r="AO38" s="5">
        <f t="shared" si="26"/>
        <v>0</v>
      </c>
      <c r="AP38" s="5">
        <f t="shared" si="27"/>
        <v>0</v>
      </c>
      <c r="AQ38" s="5">
        <f t="shared" si="28"/>
        <v>0</v>
      </c>
      <c r="AR38" s="5">
        <f t="shared" si="29"/>
        <v>0</v>
      </c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2:60" ht="15" hidden="1" outlineLevel="1" x14ac:dyDescent="0.2">
      <c r="B39" s="18">
        <f t="shared" si="5"/>
        <v>43346</v>
      </c>
      <c r="C39" s="17" t="s">
        <v>1</v>
      </c>
      <c r="D39" s="19">
        <f t="shared" si="6"/>
        <v>43352</v>
      </c>
      <c r="E39" s="20">
        <f t="shared" si="7"/>
        <v>9</v>
      </c>
      <c r="F39" s="21">
        <f t="shared" si="8"/>
        <v>2018</v>
      </c>
      <c r="G39" s="11">
        <f t="shared" si="31"/>
        <v>22</v>
      </c>
      <c r="H39" s="10">
        <f t="shared" si="31"/>
        <v>66</v>
      </c>
      <c r="I39" s="11"/>
      <c r="J39" s="11"/>
      <c r="K39" s="11"/>
      <c r="L39" s="11"/>
      <c r="M39" s="11"/>
      <c r="N39" s="11"/>
      <c r="O39" s="14"/>
      <c r="P39" s="14"/>
      <c r="Q39" s="14"/>
      <c r="R39" s="14"/>
      <c r="S39" s="14"/>
      <c r="T39" s="14"/>
      <c r="V39" s="22">
        <f t="shared" si="30"/>
        <v>2</v>
      </c>
      <c r="W39" s="22">
        <f t="shared" si="30"/>
        <v>0</v>
      </c>
      <c r="X39" s="22">
        <f t="shared" si="30"/>
        <v>0</v>
      </c>
      <c r="Y39" s="22">
        <f t="shared" si="30"/>
        <v>0</v>
      </c>
      <c r="Z39" s="22">
        <f t="shared" si="30"/>
        <v>0</v>
      </c>
      <c r="AA39" s="22">
        <f t="shared" si="30"/>
        <v>0</v>
      </c>
      <c r="AB39" s="1"/>
      <c r="AC39" s="5">
        <f t="shared" si="14"/>
        <v>28</v>
      </c>
      <c r="AD39" s="5">
        <f t="shared" si="15"/>
        <v>0</v>
      </c>
      <c r="AE39" s="5">
        <f t="shared" si="16"/>
        <v>0</v>
      </c>
      <c r="AF39" s="5">
        <f t="shared" si="17"/>
        <v>0</v>
      </c>
      <c r="AG39" s="5">
        <f t="shared" si="18"/>
        <v>0</v>
      </c>
      <c r="AH39" s="5">
        <f t="shared" si="19"/>
        <v>0</v>
      </c>
      <c r="AI39" s="5">
        <f t="shared" si="20"/>
        <v>0</v>
      </c>
      <c r="AJ39" s="5">
        <f t="shared" si="21"/>
        <v>0</v>
      </c>
      <c r="AK39" s="5">
        <f t="shared" si="22"/>
        <v>0</v>
      </c>
      <c r="AL39" s="5">
        <f t="shared" si="23"/>
        <v>0</v>
      </c>
      <c r="AM39" s="5">
        <f t="shared" si="24"/>
        <v>0</v>
      </c>
      <c r="AN39" s="5">
        <f t="shared" si="25"/>
        <v>0</v>
      </c>
      <c r="AO39" s="5">
        <f t="shared" si="26"/>
        <v>0</v>
      </c>
      <c r="AP39" s="5">
        <f t="shared" si="27"/>
        <v>0</v>
      </c>
      <c r="AQ39" s="5">
        <f t="shared" si="28"/>
        <v>0</v>
      </c>
      <c r="AR39" s="5">
        <f t="shared" si="29"/>
        <v>0</v>
      </c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2:60" ht="15" hidden="1" outlineLevel="1" x14ac:dyDescent="0.2">
      <c r="B40" s="18">
        <f t="shared" si="5"/>
        <v>43353</v>
      </c>
      <c r="C40" s="17" t="s">
        <v>1</v>
      </c>
      <c r="D40" s="19">
        <f t="shared" si="6"/>
        <v>43359</v>
      </c>
      <c r="E40" s="20">
        <f t="shared" si="7"/>
        <v>9</v>
      </c>
      <c r="F40" s="21">
        <f t="shared" si="8"/>
        <v>2018</v>
      </c>
      <c r="G40" s="11">
        <f t="shared" si="31"/>
        <v>22</v>
      </c>
      <c r="H40" s="10">
        <f t="shared" si="31"/>
        <v>66</v>
      </c>
      <c r="I40" s="11"/>
      <c r="J40" s="11"/>
      <c r="K40" s="11"/>
      <c r="L40" s="11"/>
      <c r="M40" s="11"/>
      <c r="N40" s="11"/>
      <c r="O40" s="14"/>
      <c r="P40" s="14"/>
      <c r="Q40" s="14"/>
      <c r="R40" s="14"/>
      <c r="S40" s="14"/>
      <c r="T40" s="14"/>
      <c r="V40" s="22">
        <f t="shared" si="30"/>
        <v>3</v>
      </c>
      <c r="W40" s="22">
        <f t="shared" si="30"/>
        <v>0</v>
      </c>
      <c r="X40" s="22">
        <f t="shared" si="30"/>
        <v>0</v>
      </c>
      <c r="Y40" s="22">
        <f t="shared" si="30"/>
        <v>0</v>
      </c>
      <c r="Z40" s="22">
        <f t="shared" si="30"/>
        <v>0</v>
      </c>
      <c r="AA40" s="22">
        <f t="shared" si="30"/>
        <v>0</v>
      </c>
      <c r="AB40" s="1"/>
      <c r="AC40" s="5">
        <f t="shared" si="14"/>
        <v>29</v>
      </c>
      <c r="AD40" s="5">
        <f t="shared" si="15"/>
        <v>0</v>
      </c>
      <c r="AE40" s="5">
        <f t="shared" si="16"/>
        <v>0</v>
      </c>
      <c r="AF40" s="5">
        <f t="shared" si="17"/>
        <v>0</v>
      </c>
      <c r="AG40" s="5">
        <f t="shared" si="18"/>
        <v>0</v>
      </c>
      <c r="AH40" s="5">
        <f t="shared" si="19"/>
        <v>0</v>
      </c>
      <c r="AI40" s="5">
        <f t="shared" si="20"/>
        <v>0</v>
      </c>
      <c r="AJ40" s="5">
        <f t="shared" si="21"/>
        <v>0</v>
      </c>
      <c r="AK40" s="5">
        <f t="shared" si="22"/>
        <v>0</v>
      </c>
      <c r="AL40" s="5">
        <f t="shared" si="23"/>
        <v>0</v>
      </c>
      <c r="AM40" s="5">
        <f t="shared" si="24"/>
        <v>0</v>
      </c>
      <c r="AN40" s="5">
        <f t="shared" si="25"/>
        <v>0</v>
      </c>
      <c r="AO40" s="5">
        <f t="shared" si="26"/>
        <v>0</v>
      </c>
      <c r="AP40" s="5">
        <f t="shared" si="27"/>
        <v>0</v>
      </c>
      <c r="AQ40" s="5">
        <f t="shared" si="28"/>
        <v>0</v>
      </c>
      <c r="AR40" s="5">
        <f t="shared" si="29"/>
        <v>0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2:60" ht="15" hidden="1" outlineLevel="1" x14ac:dyDescent="0.2">
      <c r="B41" s="18">
        <f t="shared" si="5"/>
        <v>43360</v>
      </c>
      <c r="C41" s="17" t="s">
        <v>1</v>
      </c>
      <c r="D41" s="19">
        <f t="shared" si="6"/>
        <v>43366</v>
      </c>
      <c r="E41" s="20">
        <f t="shared" si="7"/>
        <v>9</v>
      </c>
      <c r="F41" s="21">
        <f t="shared" si="8"/>
        <v>2018</v>
      </c>
      <c r="G41" s="11">
        <f t="shared" si="31"/>
        <v>22</v>
      </c>
      <c r="H41" s="10">
        <f t="shared" si="31"/>
        <v>66</v>
      </c>
      <c r="I41" s="11"/>
      <c r="J41" s="11"/>
      <c r="K41" s="11"/>
      <c r="L41" s="11"/>
      <c r="M41" s="11"/>
      <c r="N41" s="11"/>
      <c r="O41" s="14"/>
      <c r="P41" s="14"/>
      <c r="Q41" s="14"/>
      <c r="R41" s="14"/>
      <c r="S41" s="14"/>
      <c r="T41" s="14"/>
      <c r="V41" s="22">
        <f t="shared" si="30"/>
        <v>4</v>
      </c>
      <c r="W41" s="22">
        <f t="shared" si="30"/>
        <v>0</v>
      </c>
      <c r="X41" s="22">
        <f t="shared" si="30"/>
        <v>0</v>
      </c>
      <c r="Y41" s="22">
        <f t="shared" si="30"/>
        <v>0</v>
      </c>
      <c r="Z41" s="22">
        <f t="shared" si="30"/>
        <v>0</v>
      </c>
      <c r="AA41" s="22">
        <f t="shared" si="30"/>
        <v>0</v>
      </c>
      <c r="AB41" s="1"/>
      <c r="AC41" s="5">
        <f t="shared" si="14"/>
        <v>30</v>
      </c>
      <c r="AD41" s="5">
        <f t="shared" si="15"/>
        <v>0</v>
      </c>
      <c r="AE41" s="5">
        <f t="shared" si="16"/>
        <v>0</v>
      </c>
      <c r="AF41" s="5">
        <f t="shared" si="17"/>
        <v>0</v>
      </c>
      <c r="AG41" s="5">
        <f t="shared" si="18"/>
        <v>0</v>
      </c>
      <c r="AH41" s="5">
        <f t="shared" si="19"/>
        <v>0</v>
      </c>
      <c r="AI41" s="5">
        <f t="shared" si="20"/>
        <v>0</v>
      </c>
      <c r="AJ41" s="5">
        <f t="shared" si="21"/>
        <v>0</v>
      </c>
      <c r="AK41" s="5">
        <f t="shared" si="22"/>
        <v>0</v>
      </c>
      <c r="AL41" s="5">
        <f t="shared" si="23"/>
        <v>0</v>
      </c>
      <c r="AM41" s="5">
        <f t="shared" si="24"/>
        <v>0</v>
      </c>
      <c r="AN41" s="5">
        <f t="shared" si="25"/>
        <v>0</v>
      </c>
      <c r="AO41" s="5">
        <f t="shared" si="26"/>
        <v>0</v>
      </c>
      <c r="AP41" s="5">
        <f t="shared" si="27"/>
        <v>0</v>
      </c>
      <c r="AQ41" s="5">
        <f t="shared" si="28"/>
        <v>0</v>
      </c>
      <c r="AR41" s="5">
        <f t="shared" si="29"/>
        <v>0</v>
      </c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2:60" ht="15" hidden="1" outlineLevel="1" x14ac:dyDescent="0.2">
      <c r="B42" s="18">
        <f t="shared" si="5"/>
        <v>43367</v>
      </c>
      <c r="C42" s="17" t="s">
        <v>1</v>
      </c>
      <c r="D42" s="19">
        <f t="shared" si="6"/>
        <v>43373</v>
      </c>
      <c r="E42" s="20">
        <f t="shared" si="7"/>
        <v>9</v>
      </c>
      <c r="F42" s="21">
        <f t="shared" si="8"/>
        <v>2018</v>
      </c>
      <c r="G42" s="11">
        <f t="shared" si="31"/>
        <v>22</v>
      </c>
      <c r="H42" s="10">
        <f t="shared" si="31"/>
        <v>66</v>
      </c>
      <c r="I42" s="11"/>
      <c r="J42" s="11"/>
      <c r="K42" s="11"/>
      <c r="L42" s="11"/>
      <c r="M42" s="11"/>
      <c r="N42" s="11"/>
      <c r="O42" s="14"/>
      <c r="P42" s="14"/>
      <c r="Q42" s="14"/>
      <c r="R42" s="14"/>
      <c r="S42" s="14"/>
      <c r="T42" s="14"/>
      <c r="V42" s="22">
        <f t="shared" si="30"/>
        <v>5</v>
      </c>
      <c r="W42" s="22">
        <f t="shared" si="30"/>
        <v>0</v>
      </c>
      <c r="X42" s="22">
        <f t="shared" si="30"/>
        <v>0</v>
      </c>
      <c r="Y42" s="22">
        <f t="shared" si="30"/>
        <v>0</v>
      </c>
      <c r="Z42" s="22">
        <f t="shared" si="30"/>
        <v>0</v>
      </c>
      <c r="AA42" s="22">
        <f t="shared" si="30"/>
        <v>0</v>
      </c>
      <c r="AB42" s="1"/>
      <c r="AC42" s="5">
        <f t="shared" si="14"/>
        <v>31</v>
      </c>
      <c r="AD42" s="5">
        <f t="shared" si="15"/>
        <v>0</v>
      </c>
      <c r="AE42" s="5">
        <f t="shared" si="16"/>
        <v>0</v>
      </c>
      <c r="AF42" s="5">
        <f t="shared" si="17"/>
        <v>0</v>
      </c>
      <c r="AG42" s="5">
        <f t="shared" si="18"/>
        <v>0</v>
      </c>
      <c r="AH42" s="5">
        <f t="shared" si="19"/>
        <v>0</v>
      </c>
      <c r="AI42" s="5">
        <f t="shared" si="20"/>
        <v>0</v>
      </c>
      <c r="AJ42" s="5">
        <f t="shared" si="21"/>
        <v>0</v>
      </c>
      <c r="AK42" s="5">
        <f t="shared" si="22"/>
        <v>0</v>
      </c>
      <c r="AL42" s="5">
        <f t="shared" si="23"/>
        <v>0</v>
      </c>
      <c r="AM42" s="5">
        <f t="shared" si="24"/>
        <v>0</v>
      </c>
      <c r="AN42" s="5">
        <f t="shared" si="25"/>
        <v>0</v>
      </c>
      <c r="AO42" s="5">
        <f t="shared" si="26"/>
        <v>0</v>
      </c>
      <c r="AP42" s="5">
        <f t="shared" si="27"/>
        <v>0</v>
      </c>
      <c r="AQ42" s="5">
        <f t="shared" si="28"/>
        <v>0</v>
      </c>
      <c r="AR42" s="5">
        <f t="shared" si="29"/>
        <v>0</v>
      </c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2:60" ht="15" hidden="1" outlineLevel="1" x14ac:dyDescent="0.2">
      <c r="B43" s="18">
        <f t="shared" si="5"/>
        <v>43374</v>
      </c>
      <c r="C43" s="17" t="s">
        <v>1</v>
      </c>
      <c r="D43" s="19">
        <f t="shared" si="6"/>
        <v>43380</v>
      </c>
      <c r="E43" s="20">
        <f t="shared" si="7"/>
        <v>10</v>
      </c>
      <c r="F43" s="21">
        <f t="shared" si="8"/>
        <v>2018</v>
      </c>
      <c r="G43" s="11">
        <f t="shared" si="31"/>
        <v>22</v>
      </c>
      <c r="H43" s="10">
        <f t="shared" si="31"/>
        <v>66</v>
      </c>
      <c r="I43" s="11"/>
      <c r="J43" s="11">
        <v>22</v>
      </c>
      <c r="K43" s="11"/>
      <c r="L43" s="11"/>
      <c r="M43" s="11"/>
      <c r="N43" s="11"/>
      <c r="O43" s="14"/>
      <c r="P43" s="14"/>
      <c r="Q43" s="14"/>
      <c r="R43" s="14"/>
      <c r="S43" s="14"/>
      <c r="T43" s="14"/>
      <c r="V43" s="22">
        <f t="shared" si="30"/>
        <v>6</v>
      </c>
      <c r="W43" s="22">
        <f t="shared" si="30"/>
        <v>22</v>
      </c>
      <c r="X43" s="22">
        <f t="shared" si="30"/>
        <v>0</v>
      </c>
      <c r="Y43" s="22">
        <f t="shared" si="30"/>
        <v>0</v>
      </c>
      <c r="Z43" s="22">
        <f t="shared" si="30"/>
        <v>0</v>
      </c>
      <c r="AA43" s="22">
        <f t="shared" si="30"/>
        <v>0</v>
      </c>
      <c r="AB43" s="1"/>
      <c r="AC43" s="5">
        <f t="shared" si="14"/>
        <v>32</v>
      </c>
      <c r="AD43" s="5">
        <f t="shared" si="15"/>
        <v>22</v>
      </c>
      <c r="AE43" s="5">
        <f t="shared" si="16"/>
        <v>0</v>
      </c>
      <c r="AF43" s="5">
        <f t="shared" si="17"/>
        <v>0</v>
      </c>
      <c r="AG43" s="5">
        <f t="shared" si="18"/>
        <v>0</v>
      </c>
      <c r="AH43" s="5">
        <f t="shared" si="19"/>
        <v>0</v>
      </c>
      <c r="AI43" s="5">
        <f t="shared" si="20"/>
        <v>0</v>
      </c>
      <c r="AJ43" s="5">
        <f t="shared" si="21"/>
        <v>0</v>
      </c>
      <c r="AK43" s="5">
        <f t="shared" si="22"/>
        <v>0</v>
      </c>
      <c r="AL43" s="5">
        <f t="shared" si="23"/>
        <v>0</v>
      </c>
      <c r="AM43" s="5">
        <f t="shared" si="24"/>
        <v>0</v>
      </c>
      <c r="AN43" s="5">
        <f t="shared" si="25"/>
        <v>0</v>
      </c>
      <c r="AO43" s="5">
        <f t="shared" si="26"/>
        <v>0</v>
      </c>
      <c r="AP43" s="5">
        <f t="shared" si="27"/>
        <v>0</v>
      </c>
      <c r="AQ43" s="5">
        <f t="shared" si="28"/>
        <v>0</v>
      </c>
      <c r="AR43" s="5">
        <f t="shared" si="29"/>
        <v>0</v>
      </c>
      <c r="AS43" s="10"/>
      <c r="AT43" s="10">
        <v>2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2:60" ht="15" hidden="1" outlineLevel="1" x14ac:dyDescent="0.2">
      <c r="B44" s="18">
        <f t="shared" si="5"/>
        <v>43381</v>
      </c>
      <c r="C44" s="17" t="s">
        <v>1</v>
      </c>
      <c r="D44" s="19">
        <f t="shared" si="6"/>
        <v>43387</v>
      </c>
      <c r="E44" s="20">
        <f t="shared" si="7"/>
        <v>10</v>
      </c>
      <c r="F44" s="21">
        <f t="shared" si="8"/>
        <v>2018</v>
      </c>
      <c r="G44" s="11">
        <f t="shared" si="31"/>
        <v>22</v>
      </c>
      <c r="H44" s="10">
        <f t="shared" si="31"/>
        <v>66</v>
      </c>
      <c r="I44" s="11"/>
      <c r="J44" s="11"/>
      <c r="K44" s="11"/>
      <c r="L44" s="11"/>
      <c r="M44" s="11"/>
      <c r="N44" s="11"/>
      <c r="O44" s="14"/>
      <c r="P44" s="14"/>
      <c r="Q44" s="14"/>
      <c r="R44" s="14"/>
      <c r="S44" s="14"/>
      <c r="T44" s="14"/>
      <c r="V44" s="22">
        <f t="shared" si="30"/>
        <v>7</v>
      </c>
      <c r="W44" s="22">
        <f t="shared" si="30"/>
        <v>0</v>
      </c>
      <c r="X44" s="22">
        <f t="shared" si="30"/>
        <v>0</v>
      </c>
      <c r="Y44" s="22">
        <f t="shared" si="30"/>
        <v>0</v>
      </c>
      <c r="Z44" s="22">
        <f t="shared" si="30"/>
        <v>0</v>
      </c>
      <c r="AA44" s="22">
        <f t="shared" si="30"/>
        <v>0</v>
      </c>
      <c r="AB44" s="1"/>
      <c r="AC44" s="5">
        <f t="shared" si="14"/>
        <v>33</v>
      </c>
      <c r="AD44" s="5">
        <f t="shared" si="15"/>
        <v>23</v>
      </c>
      <c r="AE44" s="5">
        <f t="shared" si="16"/>
        <v>0</v>
      </c>
      <c r="AF44" s="5">
        <f t="shared" si="17"/>
        <v>0</v>
      </c>
      <c r="AG44" s="5">
        <f t="shared" si="18"/>
        <v>0</v>
      </c>
      <c r="AH44" s="5">
        <f t="shared" si="19"/>
        <v>0</v>
      </c>
      <c r="AI44" s="5">
        <f t="shared" si="20"/>
        <v>0</v>
      </c>
      <c r="AJ44" s="5">
        <f t="shared" si="21"/>
        <v>0</v>
      </c>
      <c r="AK44" s="5">
        <f t="shared" si="22"/>
        <v>0</v>
      </c>
      <c r="AL44" s="5">
        <f t="shared" si="23"/>
        <v>0</v>
      </c>
      <c r="AM44" s="5">
        <f t="shared" si="24"/>
        <v>0</v>
      </c>
      <c r="AN44" s="5">
        <f t="shared" si="25"/>
        <v>0</v>
      </c>
      <c r="AO44" s="5">
        <f t="shared" si="26"/>
        <v>0</v>
      </c>
      <c r="AP44" s="5">
        <f t="shared" si="27"/>
        <v>0</v>
      </c>
      <c r="AQ44" s="5">
        <f t="shared" si="28"/>
        <v>0</v>
      </c>
      <c r="AR44" s="5">
        <f t="shared" si="29"/>
        <v>0</v>
      </c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2:60" ht="15" hidden="1" outlineLevel="1" x14ac:dyDescent="0.2">
      <c r="B45" s="18">
        <f t="shared" si="5"/>
        <v>43388</v>
      </c>
      <c r="C45" s="17" t="s">
        <v>1</v>
      </c>
      <c r="D45" s="19">
        <f t="shared" si="6"/>
        <v>43394</v>
      </c>
      <c r="E45" s="20">
        <f t="shared" si="7"/>
        <v>10</v>
      </c>
      <c r="F45" s="21">
        <f t="shared" si="8"/>
        <v>2018</v>
      </c>
      <c r="G45" s="11">
        <f t="shared" si="31"/>
        <v>22</v>
      </c>
      <c r="H45" s="10">
        <f t="shared" si="31"/>
        <v>66</v>
      </c>
      <c r="I45" s="11"/>
      <c r="J45" s="11"/>
      <c r="K45" s="11"/>
      <c r="L45" s="11"/>
      <c r="M45" s="11"/>
      <c r="N45" s="11"/>
      <c r="O45" s="14"/>
      <c r="P45" s="14"/>
      <c r="Q45" s="14"/>
      <c r="R45" s="14"/>
      <c r="S45" s="14"/>
      <c r="T45" s="14"/>
      <c r="V45" s="22">
        <f t="shared" si="30"/>
        <v>8</v>
      </c>
      <c r="W45" s="22">
        <f t="shared" si="30"/>
        <v>0</v>
      </c>
      <c r="X45" s="22">
        <f t="shared" si="30"/>
        <v>0</v>
      </c>
      <c r="Y45" s="22">
        <f t="shared" si="30"/>
        <v>0</v>
      </c>
      <c r="Z45" s="22">
        <f t="shared" si="30"/>
        <v>0</v>
      </c>
      <c r="AA45" s="22">
        <f t="shared" si="30"/>
        <v>0</v>
      </c>
      <c r="AB45" s="1"/>
      <c r="AC45" s="5">
        <f t="shared" si="14"/>
        <v>34</v>
      </c>
      <c r="AD45" s="5">
        <f t="shared" si="15"/>
        <v>24</v>
      </c>
      <c r="AE45" s="5">
        <f t="shared" si="16"/>
        <v>0</v>
      </c>
      <c r="AF45" s="5">
        <f t="shared" si="17"/>
        <v>0</v>
      </c>
      <c r="AG45" s="5">
        <f t="shared" si="18"/>
        <v>0</v>
      </c>
      <c r="AH45" s="5">
        <f t="shared" si="19"/>
        <v>0</v>
      </c>
      <c r="AI45" s="5">
        <f t="shared" si="20"/>
        <v>0</v>
      </c>
      <c r="AJ45" s="5">
        <f t="shared" si="21"/>
        <v>0</v>
      </c>
      <c r="AK45" s="5">
        <f t="shared" si="22"/>
        <v>0</v>
      </c>
      <c r="AL45" s="5">
        <f t="shared" si="23"/>
        <v>0</v>
      </c>
      <c r="AM45" s="5">
        <f t="shared" si="24"/>
        <v>0</v>
      </c>
      <c r="AN45" s="5">
        <f t="shared" si="25"/>
        <v>0</v>
      </c>
      <c r="AO45" s="5">
        <f t="shared" si="26"/>
        <v>0</v>
      </c>
      <c r="AP45" s="5">
        <f t="shared" si="27"/>
        <v>0</v>
      </c>
      <c r="AQ45" s="5">
        <f t="shared" si="28"/>
        <v>0</v>
      </c>
      <c r="AR45" s="5">
        <f t="shared" si="29"/>
        <v>0</v>
      </c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2:60" ht="15" hidden="1" outlineLevel="1" x14ac:dyDescent="0.2">
      <c r="B46" s="18">
        <f t="shared" si="5"/>
        <v>43395</v>
      </c>
      <c r="C46" s="17" t="s">
        <v>1</v>
      </c>
      <c r="D46" s="19">
        <f t="shared" si="6"/>
        <v>43401</v>
      </c>
      <c r="E46" s="20">
        <f t="shared" si="7"/>
        <v>10</v>
      </c>
      <c r="F46" s="21">
        <f t="shared" si="8"/>
        <v>2018</v>
      </c>
      <c r="G46" s="11">
        <f t="shared" si="31"/>
        <v>22</v>
      </c>
      <c r="H46" s="10">
        <f t="shared" si="31"/>
        <v>66</v>
      </c>
      <c r="I46" s="11"/>
      <c r="J46" s="11"/>
      <c r="K46" s="11"/>
      <c r="L46" s="11"/>
      <c r="M46" s="11"/>
      <c r="N46" s="11"/>
      <c r="O46" s="14"/>
      <c r="P46" s="14"/>
      <c r="Q46" s="14"/>
      <c r="R46" s="14"/>
      <c r="S46" s="14"/>
      <c r="T46" s="14"/>
      <c r="V46" s="22">
        <f t="shared" si="30"/>
        <v>9</v>
      </c>
      <c r="W46" s="22">
        <f t="shared" si="30"/>
        <v>0</v>
      </c>
      <c r="X46" s="22">
        <f t="shared" si="30"/>
        <v>0</v>
      </c>
      <c r="Y46" s="22">
        <f t="shared" si="30"/>
        <v>0</v>
      </c>
      <c r="Z46" s="22">
        <f t="shared" si="30"/>
        <v>0</v>
      </c>
      <c r="AA46" s="22">
        <f t="shared" si="30"/>
        <v>0</v>
      </c>
      <c r="AB46" s="1"/>
      <c r="AC46" s="5">
        <f t="shared" si="14"/>
        <v>35</v>
      </c>
      <c r="AD46" s="5">
        <f t="shared" si="15"/>
        <v>25</v>
      </c>
      <c r="AE46" s="5">
        <f t="shared" si="16"/>
        <v>0</v>
      </c>
      <c r="AF46" s="5">
        <f t="shared" si="17"/>
        <v>0</v>
      </c>
      <c r="AG46" s="5">
        <f t="shared" si="18"/>
        <v>0</v>
      </c>
      <c r="AH46" s="5">
        <f t="shared" si="19"/>
        <v>0</v>
      </c>
      <c r="AI46" s="5">
        <f t="shared" si="20"/>
        <v>0</v>
      </c>
      <c r="AJ46" s="5">
        <f t="shared" si="21"/>
        <v>0</v>
      </c>
      <c r="AK46" s="5">
        <f t="shared" si="22"/>
        <v>0</v>
      </c>
      <c r="AL46" s="5">
        <f t="shared" si="23"/>
        <v>0</v>
      </c>
      <c r="AM46" s="5">
        <f t="shared" si="24"/>
        <v>0</v>
      </c>
      <c r="AN46" s="5">
        <f t="shared" si="25"/>
        <v>0</v>
      </c>
      <c r="AO46" s="5">
        <f t="shared" si="26"/>
        <v>0</v>
      </c>
      <c r="AP46" s="5">
        <f t="shared" si="27"/>
        <v>0</v>
      </c>
      <c r="AQ46" s="5">
        <f t="shared" si="28"/>
        <v>0</v>
      </c>
      <c r="AR46" s="5">
        <f t="shared" si="29"/>
        <v>0</v>
      </c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2:60" ht="15" hidden="1" outlineLevel="1" x14ac:dyDescent="0.2">
      <c r="B47" s="18">
        <f t="shared" si="5"/>
        <v>43402</v>
      </c>
      <c r="C47" s="17" t="s">
        <v>1</v>
      </c>
      <c r="D47" s="19">
        <f t="shared" si="6"/>
        <v>43408</v>
      </c>
      <c r="E47" s="20">
        <f t="shared" si="7"/>
        <v>10</v>
      </c>
      <c r="F47" s="21">
        <f t="shared" si="8"/>
        <v>2018</v>
      </c>
      <c r="G47" s="11">
        <f t="shared" si="31"/>
        <v>22</v>
      </c>
      <c r="H47" s="10">
        <f t="shared" si="31"/>
        <v>66</v>
      </c>
      <c r="I47" s="11"/>
      <c r="J47" s="11"/>
      <c r="K47" s="11"/>
      <c r="L47" s="11"/>
      <c r="M47" s="11"/>
      <c r="N47" s="11"/>
      <c r="O47" s="14"/>
      <c r="P47" s="14"/>
      <c r="Q47" s="14"/>
      <c r="R47" s="14"/>
      <c r="S47" s="14"/>
      <c r="T47" s="14"/>
      <c r="V47" s="22">
        <f t="shared" si="30"/>
        <v>10</v>
      </c>
      <c r="W47" s="22">
        <f t="shared" si="30"/>
        <v>0</v>
      </c>
      <c r="X47" s="22">
        <f t="shared" si="30"/>
        <v>0</v>
      </c>
      <c r="Y47" s="22">
        <f t="shared" si="30"/>
        <v>0</v>
      </c>
      <c r="Z47" s="22">
        <f t="shared" si="30"/>
        <v>0</v>
      </c>
      <c r="AA47" s="22">
        <f t="shared" si="30"/>
        <v>0</v>
      </c>
      <c r="AB47" s="1"/>
      <c r="AC47" s="5">
        <f t="shared" si="14"/>
        <v>36</v>
      </c>
      <c r="AD47" s="5">
        <f t="shared" si="15"/>
        <v>26</v>
      </c>
      <c r="AE47" s="5">
        <f t="shared" si="16"/>
        <v>0</v>
      </c>
      <c r="AF47" s="5">
        <f t="shared" si="17"/>
        <v>0</v>
      </c>
      <c r="AG47" s="5">
        <f t="shared" si="18"/>
        <v>0</v>
      </c>
      <c r="AH47" s="5">
        <f t="shared" si="19"/>
        <v>0</v>
      </c>
      <c r="AI47" s="5">
        <f t="shared" si="20"/>
        <v>0</v>
      </c>
      <c r="AJ47" s="5">
        <f t="shared" si="21"/>
        <v>0</v>
      </c>
      <c r="AK47" s="5">
        <f t="shared" si="22"/>
        <v>0</v>
      </c>
      <c r="AL47" s="5">
        <f t="shared" si="23"/>
        <v>0</v>
      </c>
      <c r="AM47" s="5">
        <f t="shared" si="24"/>
        <v>0</v>
      </c>
      <c r="AN47" s="5">
        <f t="shared" si="25"/>
        <v>0</v>
      </c>
      <c r="AO47" s="5">
        <f t="shared" si="26"/>
        <v>0</v>
      </c>
      <c r="AP47" s="5">
        <f t="shared" si="27"/>
        <v>0</v>
      </c>
      <c r="AQ47" s="5">
        <f t="shared" si="28"/>
        <v>0</v>
      </c>
      <c r="AR47" s="5">
        <f t="shared" si="29"/>
        <v>0</v>
      </c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2:60" ht="15" hidden="1" outlineLevel="1" x14ac:dyDescent="0.2">
      <c r="B48" s="18">
        <f t="shared" si="5"/>
        <v>43409</v>
      </c>
      <c r="C48" s="17" t="s">
        <v>1</v>
      </c>
      <c r="D48" s="19">
        <f t="shared" si="6"/>
        <v>43415</v>
      </c>
      <c r="E48" s="20">
        <f t="shared" si="7"/>
        <v>11</v>
      </c>
      <c r="F48" s="21">
        <f t="shared" si="8"/>
        <v>2018</v>
      </c>
      <c r="G48" s="11">
        <f t="shared" si="31"/>
        <v>22</v>
      </c>
      <c r="H48" s="10">
        <f t="shared" si="31"/>
        <v>66</v>
      </c>
      <c r="I48" s="11"/>
      <c r="J48" s="11"/>
      <c r="K48" s="11"/>
      <c r="L48" s="11"/>
      <c r="M48" s="11"/>
      <c r="N48" s="11"/>
      <c r="O48" s="14"/>
      <c r="P48" s="14"/>
      <c r="Q48" s="14"/>
      <c r="R48" s="14"/>
      <c r="S48" s="14"/>
      <c r="T48" s="14"/>
      <c r="V48" s="22">
        <f t="shared" si="30"/>
        <v>11</v>
      </c>
      <c r="W48" s="22">
        <f t="shared" si="30"/>
        <v>0</v>
      </c>
      <c r="X48" s="22">
        <f t="shared" si="30"/>
        <v>0</v>
      </c>
      <c r="Y48" s="22">
        <f t="shared" si="30"/>
        <v>0</v>
      </c>
      <c r="Z48" s="22">
        <f t="shared" si="30"/>
        <v>0</v>
      </c>
      <c r="AA48" s="22">
        <f t="shared" si="30"/>
        <v>0</v>
      </c>
      <c r="AB48" s="1"/>
      <c r="AC48" s="5">
        <f t="shared" si="14"/>
        <v>37</v>
      </c>
      <c r="AD48" s="5">
        <f t="shared" si="15"/>
        <v>27</v>
      </c>
      <c r="AE48" s="5">
        <f t="shared" si="16"/>
        <v>0</v>
      </c>
      <c r="AF48" s="5">
        <f t="shared" si="17"/>
        <v>0</v>
      </c>
      <c r="AG48" s="5">
        <f t="shared" si="18"/>
        <v>0</v>
      </c>
      <c r="AH48" s="5">
        <f t="shared" si="19"/>
        <v>0</v>
      </c>
      <c r="AI48" s="5">
        <f t="shared" si="20"/>
        <v>0</v>
      </c>
      <c r="AJ48" s="5">
        <f t="shared" si="21"/>
        <v>0</v>
      </c>
      <c r="AK48" s="5">
        <f t="shared" si="22"/>
        <v>0</v>
      </c>
      <c r="AL48" s="5">
        <f t="shared" si="23"/>
        <v>0</v>
      </c>
      <c r="AM48" s="5">
        <f t="shared" si="24"/>
        <v>0</v>
      </c>
      <c r="AN48" s="5">
        <f t="shared" si="25"/>
        <v>0</v>
      </c>
      <c r="AO48" s="5">
        <f t="shared" si="26"/>
        <v>0</v>
      </c>
      <c r="AP48" s="5">
        <f t="shared" si="27"/>
        <v>0</v>
      </c>
      <c r="AQ48" s="5">
        <f t="shared" si="28"/>
        <v>0</v>
      </c>
      <c r="AR48" s="5">
        <f t="shared" si="29"/>
        <v>0</v>
      </c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2:79" ht="15" hidden="1" outlineLevel="1" x14ac:dyDescent="0.2">
      <c r="B49" s="18">
        <f t="shared" si="5"/>
        <v>43416</v>
      </c>
      <c r="C49" s="17" t="s">
        <v>1</v>
      </c>
      <c r="D49" s="19">
        <f t="shared" si="6"/>
        <v>43422</v>
      </c>
      <c r="E49" s="20">
        <f t="shared" si="7"/>
        <v>11</v>
      </c>
      <c r="F49" s="21">
        <f t="shared" si="8"/>
        <v>2018</v>
      </c>
      <c r="G49" s="11">
        <f t="shared" si="31"/>
        <v>22</v>
      </c>
      <c r="H49" s="10">
        <f t="shared" si="31"/>
        <v>66</v>
      </c>
      <c r="I49" s="11"/>
      <c r="J49" s="11"/>
      <c r="K49" s="11"/>
      <c r="L49" s="11"/>
      <c r="M49" s="11"/>
      <c r="N49" s="11"/>
      <c r="O49" s="14"/>
      <c r="P49" s="14"/>
      <c r="Q49" s="14"/>
      <c r="R49" s="14"/>
      <c r="S49" s="14"/>
      <c r="T49" s="14"/>
      <c r="V49" s="22">
        <f t="shared" si="30"/>
        <v>12</v>
      </c>
      <c r="W49" s="22">
        <f t="shared" si="30"/>
        <v>0</v>
      </c>
      <c r="X49" s="22">
        <f t="shared" si="30"/>
        <v>0</v>
      </c>
      <c r="Y49" s="22">
        <f t="shared" si="30"/>
        <v>0</v>
      </c>
      <c r="Z49" s="22">
        <f t="shared" si="30"/>
        <v>0</v>
      </c>
      <c r="AA49" s="22">
        <f t="shared" si="30"/>
        <v>0</v>
      </c>
      <c r="AB49" s="1"/>
      <c r="AC49" s="5">
        <f t="shared" si="14"/>
        <v>38</v>
      </c>
      <c r="AD49" s="5">
        <f t="shared" si="15"/>
        <v>28</v>
      </c>
      <c r="AE49" s="5">
        <f t="shared" si="16"/>
        <v>0</v>
      </c>
      <c r="AF49" s="5">
        <f t="shared" si="17"/>
        <v>0</v>
      </c>
      <c r="AG49" s="5">
        <f t="shared" si="18"/>
        <v>0</v>
      </c>
      <c r="AH49" s="5">
        <f t="shared" si="19"/>
        <v>0</v>
      </c>
      <c r="AI49" s="5">
        <f t="shared" si="20"/>
        <v>0</v>
      </c>
      <c r="AJ49" s="5">
        <f t="shared" si="21"/>
        <v>0</v>
      </c>
      <c r="AK49" s="5">
        <f t="shared" si="22"/>
        <v>0</v>
      </c>
      <c r="AL49" s="5">
        <f t="shared" si="23"/>
        <v>0</v>
      </c>
      <c r="AM49" s="5">
        <f t="shared" si="24"/>
        <v>0</v>
      </c>
      <c r="AN49" s="5">
        <f t="shared" si="25"/>
        <v>0</v>
      </c>
      <c r="AO49" s="5">
        <f t="shared" si="26"/>
        <v>0</v>
      </c>
      <c r="AP49" s="5">
        <f t="shared" si="27"/>
        <v>0</v>
      </c>
      <c r="AQ49" s="5">
        <f t="shared" si="28"/>
        <v>0</v>
      </c>
      <c r="AR49" s="5">
        <f t="shared" si="29"/>
        <v>0</v>
      </c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2:79" ht="15" hidden="1" outlineLevel="1" x14ac:dyDescent="0.2">
      <c r="B50" s="18">
        <f t="shared" si="5"/>
        <v>43423</v>
      </c>
      <c r="C50" s="17" t="s">
        <v>1</v>
      </c>
      <c r="D50" s="19">
        <f t="shared" si="6"/>
        <v>43429</v>
      </c>
      <c r="E50" s="20">
        <f t="shared" si="7"/>
        <v>11</v>
      </c>
      <c r="F50" s="21">
        <f t="shared" si="8"/>
        <v>2018</v>
      </c>
      <c r="G50" s="11">
        <f t="shared" si="31"/>
        <v>22</v>
      </c>
      <c r="H50" s="10">
        <f t="shared" si="31"/>
        <v>66</v>
      </c>
      <c r="I50" s="11"/>
      <c r="J50" s="11"/>
      <c r="K50" s="11"/>
      <c r="L50" s="11"/>
      <c r="M50" s="11"/>
      <c r="N50" s="11"/>
      <c r="O50" s="14"/>
      <c r="P50" s="14"/>
      <c r="Q50" s="14"/>
      <c r="R50" s="14"/>
      <c r="S50" s="14"/>
      <c r="T50" s="14"/>
      <c r="V50" s="22">
        <f t="shared" si="30"/>
        <v>13</v>
      </c>
      <c r="W50" s="22">
        <f t="shared" si="30"/>
        <v>0</v>
      </c>
      <c r="X50" s="22">
        <f t="shared" si="30"/>
        <v>0</v>
      </c>
      <c r="Y50" s="22">
        <f t="shared" si="30"/>
        <v>0</v>
      </c>
      <c r="Z50" s="22">
        <f t="shared" si="30"/>
        <v>0</v>
      </c>
      <c r="AA50" s="22">
        <f t="shared" si="30"/>
        <v>0</v>
      </c>
      <c r="AB50" s="1"/>
      <c r="AC50" s="5">
        <f t="shared" si="14"/>
        <v>39</v>
      </c>
      <c r="AD50" s="5">
        <f t="shared" si="15"/>
        <v>29</v>
      </c>
      <c r="AE50" s="5">
        <f t="shared" si="16"/>
        <v>0</v>
      </c>
      <c r="AF50" s="5">
        <f t="shared" si="17"/>
        <v>0</v>
      </c>
      <c r="AG50" s="5">
        <f t="shared" si="18"/>
        <v>0</v>
      </c>
      <c r="AH50" s="5">
        <f t="shared" si="19"/>
        <v>0</v>
      </c>
      <c r="AI50" s="5">
        <f t="shared" si="20"/>
        <v>0</v>
      </c>
      <c r="AJ50" s="5">
        <f t="shared" si="21"/>
        <v>0</v>
      </c>
      <c r="AK50" s="5">
        <f t="shared" si="22"/>
        <v>0</v>
      </c>
      <c r="AL50" s="5">
        <f t="shared" si="23"/>
        <v>0</v>
      </c>
      <c r="AM50" s="5">
        <f t="shared" si="24"/>
        <v>0</v>
      </c>
      <c r="AN50" s="5">
        <f t="shared" si="25"/>
        <v>0</v>
      </c>
      <c r="AO50" s="5">
        <f t="shared" si="26"/>
        <v>0</v>
      </c>
      <c r="AP50" s="5">
        <f t="shared" si="27"/>
        <v>0</v>
      </c>
      <c r="AQ50" s="5">
        <f t="shared" si="28"/>
        <v>0</v>
      </c>
      <c r="AR50" s="5">
        <f t="shared" si="29"/>
        <v>0</v>
      </c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J50" s="24"/>
      <c r="BK50" s="25"/>
      <c r="BL50" s="24"/>
    </row>
    <row r="51" spans="2:79" ht="15" hidden="1" outlineLevel="1" x14ac:dyDescent="0.2">
      <c r="B51" s="18">
        <f t="shared" si="5"/>
        <v>43430</v>
      </c>
      <c r="C51" s="17" t="s">
        <v>1</v>
      </c>
      <c r="D51" s="19">
        <f t="shared" si="6"/>
        <v>43436</v>
      </c>
      <c r="E51" s="20">
        <f t="shared" si="7"/>
        <v>11</v>
      </c>
      <c r="F51" s="21">
        <f t="shared" si="8"/>
        <v>2018</v>
      </c>
      <c r="G51" s="11">
        <f t="shared" si="31"/>
        <v>22</v>
      </c>
      <c r="H51" s="10">
        <f t="shared" si="31"/>
        <v>66</v>
      </c>
      <c r="I51" s="11"/>
      <c r="J51" s="11"/>
      <c r="K51" s="11"/>
      <c r="L51" s="11"/>
      <c r="M51" s="11"/>
      <c r="N51" s="11"/>
      <c r="O51" s="14"/>
      <c r="P51" s="14"/>
      <c r="Q51" s="14"/>
      <c r="R51" s="14"/>
      <c r="S51" s="14"/>
      <c r="T51" s="14"/>
      <c r="V51" s="22">
        <f t="shared" si="30"/>
        <v>14</v>
      </c>
      <c r="W51" s="22">
        <f t="shared" si="30"/>
        <v>0</v>
      </c>
      <c r="X51" s="22">
        <f t="shared" si="30"/>
        <v>0</v>
      </c>
      <c r="Y51" s="22">
        <f t="shared" si="30"/>
        <v>0</v>
      </c>
      <c r="Z51" s="22">
        <f t="shared" si="30"/>
        <v>0</v>
      </c>
      <c r="AA51" s="22">
        <f t="shared" si="30"/>
        <v>0</v>
      </c>
      <c r="AC51" s="5">
        <f t="shared" si="14"/>
        <v>40</v>
      </c>
      <c r="AD51" s="5">
        <f t="shared" si="15"/>
        <v>30</v>
      </c>
      <c r="AE51" s="5">
        <f t="shared" si="16"/>
        <v>0</v>
      </c>
      <c r="AF51" s="5">
        <f t="shared" si="17"/>
        <v>0</v>
      </c>
      <c r="AG51" s="5">
        <f t="shared" si="18"/>
        <v>0</v>
      </c>
      <c r="AH51" s="5">
        <f t="shared" si="19"/>
        <v>0</v>
      </c>
      <c r="AI51" s="5">
        <f t="shared" si="20"/>
        <v>0</v>
      </c>
      <c r="AJ51" s="5">
        <f t="shared" si="21"/>
        <v>0</v>
      </c>
      <c r="AK51" s="5">
        <f t="shared" si="22"/>
        <v>0</v>
      </c>
      <c r="AL51" s="5">
        <f t="shared" si="23"/>
        <v>0</v>
      </c>
      <c r="AM51" s="5">
        <f t="shared" si="24"/>
        <v>0</v>
      </c>
      <c r="AN51" s="5">
        <f t="shared" si="25"/>
        <v>0</v>
      </c>
      <c r="AO51" s="5">
        <f t="shared" si="26"/>
        <v>0</v>
      </c>
      <c r="AP51" s="5">
        <f t="shared" si="27"/>
        <v>0</v>
      </c>
      <c r="AQ51" s="5">
        <f t="shared" si="28"/>
        <v>0</v>
      </c>
      <c r="AR51" s="5">
        <f t="shared" si="29"/>
        <v>0</v>
      </c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J51" s="24"/>
      <c r="BK51" s="25"/>
      <c r="BL51" s="24"/>
    </row>
    <row r="52" spans="2:79" ht="15" hidden="1" outlineLevel="1" x14ac:dyDescent="0.2">
      <c r="B52" s="18">
        <f t="shared" si="5"/>
        <v>43437</v>
      </c>
      <c r="C52" s="17" t="s">
        <v>1</v>
      </c>
      <c r="D52" s="19">
        <f t="shared" si="6"/>
        <v>43443</v>
      </c>
      <c r="E52" s="20">
        <f t="shared" si="7"/>
        <v>12</v>
      </c>
      <c r="F52" s="21">
        <f t="shared" si="8"/>
        <v>2018</v>
      </c>
      <c r="G52" s="11">
        <f t="shared" si="31"/>
        <v>22</v>
      </c>
      <c r="H52" s="10">
        <f t="shared" si="31"/>
        <v>66</v>
      </c>
      <c r="I52" s="11"/>
      <c r="J52" s="11"/>
      <c r="K52" s="11"/>
      <c r="L52" s="11"/>
      <c r="M52" s="11"/>
      <c r="N52" s="11"/>
      <c r="O52" s="14"/>
      <c r="P52" s="14"/>
      <c r="Q52" s="14"/>
      <c r="R52" s="14"/>
      <c r="S52" s="14"/>
      <c r="T52" s="14"/>
      <c r="V52" s="22">
        <f t="shared" ref="V52:AA67" si="32">IF(I52&gt;0,I52,IF(O52=1,$B52+2,IF(O51=1,1,IF(O51=2,0,IF(V51=$G51,0,(IF(V51&gt;=1,V51+1,0)))))))</f>
        <v>15</v>
      </c>
      <c r="W52" s="22">
        <f t="shared" si="32"/>
        <v>0</v>
      </c>
      <c r="X52" s="22">
        <f t="shared" si="32"/>
        <v>0</v>
      </c>
      <c r="Y52" s="22">
        <f t="shared" si="32"/>
        <v>0</v>
      </c>
      <c r="Z52" s="22">
        <f t="shared" si="32"/>
        <v>0</v>
      </c>
      <c r="AA52" s="22">
        <f t="shared" si="32"/>
        <v>0</v>
      </c>
      <c r="AB52" s="1"/>
      <c r="AC52" s="5">
        <f t="shared" si="14"/>
        <v>41</v>
      </c>
      <c r="AD52" s="5">
        <f t="shared" si="15"/>
        <v>31</v>
      </c>
      <c r="AE52" s="5">
        <f t="shared" si="16"/>
        <v>0</v>
      </c>
      <c r="AF52" s="5">
        <f t="shared" si="17"/>
        <v>0</v>
      </c>
      <c r="AG52" s="5">
        <f t="shared" si="18"/>
        <v>0</v>
      </c>
      <c r="AH52" s="5">
        <f t="shared" si="19"/>
        <v>0</v>
      </c>
      <c r="AI52" s="5">
        <f t="shared" si="20"/>
        <v>0</v>
      </c>
      <c r="AJ52" s="5">
        <f t="shared" si="21"/>
        <v>0</v>
      </c>
      <c r="AK52" s="5">
        <f t="shared" si="22"/>
        <v>0</v>
      </c>
      <c r="AL52" s="5">
        <f t="shared" si="23"/>
        <v>0</v>
      </c>
      <c r="AM52" s="5">
        <f t="shared" si="24"/>
        <v>0</v>
      </c>
      <c r="AN52" s="5">
        <f t="shared" si="25"/>
        <v>0</v>
      </c>
      <c r="AO52" s="5">
        <f t="shared" si="26"/>
        <v>0</v>
      </c>
      <c r="AP52" s="5">
        <f t="shared" si="27"/>
        <v>0</v>
      </c>
      <c r="AQ52" s="5">
        <f t="shared" si="28"/>
        <v>0</v>
      </c>
      <c r="AR52" s="5">
        <f t="shared" si="29"/>
        <v>0</v>
      </c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J52" s="24"/>
      <c r="BK52" s="25"/>
      <c r="BL52" s="24"/>
    </row>
    <row r="53" spans="2:79" ht="15" hidden="1" outlineLevel="1" x14ac:dyDescent="0.2">
      <c r="B53" s="18">
        <f t="shared" si="5"/>
        <v>43444</v>
      </c>
      <c r="C53" s="17" t="s">
        <v>1</v>
      </c>
      <c r="D53" s="19">
        <f t="shared" si="6"/>
        <v>43450</v>
      </c>
      <c r="E53" s="20">
        <f t="shared" si="7"/>
        <v>12</v>
      </c>
      <c r="F53" s="21">
        <f t="shared" si="8"/>
        <v>2018</v>
      </c>
      <c r="G53" s="11">
        <f t="shared" si="31"/>
        <v>22</v>
      </c>
      <c r="H53" s="10">
        <f t="shared" si="31"/>
        <v>66</v>
      </c>
      <c r="I53" s="11"/>
      <c r="J53" s="11"/>
      <c r="K53" s="11"/>
      <c r="L53" s="11"/>
      <c r="M53" s="11"/>
      <c r="N53" s="11"/>
      <c r="O53" s="14"/>
      <c r="P53" s="14"/>
      <c r="Q53" s="14"/>
      <c r="R53" s="14"/>
      <c r="S53" s="14"/>
      <c r="T53" s="14"/>
      <c r="V53" s="22">
        <f t="shared" si="32"/>
        <v>16</v>
      </c>
      <c r="W53" s="22">
        <f t="shared" si="32"/>
        <v>0</v>
      </c>
      <c r="X53" s="22">
        <f t="shared" si="32"/>
        <v>0</v>
      </c>
      <c r="Y53" s="22">
        <f t="shared" si="32"/>
        <v>0</v>
      </c>
      <c r="Z53" s="22">
        <f t="shared" si="32"/>
        <v>0</v>
      </c>
      <c r="AA53" s="22">
        <f t="shared" si="32"/>
        <v>0</v>
      </c>
      <c r="AB53" s="1"/>
      <c r="AC53" s="5">
        <f t="shared" si="14"/>
        <v>42</v>
      </c>
      <c r="AD53" s="5">
        <f t="shared" si="15"/>
        <v>32</v>
      </c>
      <c r="AE53" s="5">
        <f t="shared" si="16"/>
        <v>0</v>
      </c>
      <c r="AF53" s="5">
        <f t="shared" si="17"/>
        <v>0</v>
      </c>
      <c r="AG53" s="5">
        <f t="shared" si="18"/>
        <v>0</v>
      </c>
      <c r="AH53" s="5">
        <f t="shared" si="19"/>
        <v>0</v>
      </c>
      <c r="AI53" s="5">
        <f t="shared" si="20"/>
        <v>0</v>
      </c>
      <c r="AJ53" s="5">
        <f t="shared" si="21"/>
        <v>0</v>
      </c>
      <c r="AK53" s="5">
        <f t="shared" si="22"/>
        <v>0</v>
      </c>
      <c r="AL53" s="5">
        <f t="shared" si="23"/>
        <v>0</v>
      </c>
      <c r="AM53" s="5">
        <f t="shared" si="24"/>
        <v>0</v>
      </c>
      <c r="AN53" s="5">
        <f t="shared" si="25"/>
        <v>0</v>
      </c>
      <c r="AO53" s="5">
        <f t="shared" si="26"/>
        <v>0</v>
      </c>
      <c r="AP53" s="5">
        <f t="shared" si="27"/>
        <v>0</v>
      </c>
      <c r="AQ53" s="5">
        <f t="shared" si="28"/>
        <v>0</v>
      </c>
      <c r="AR53" s="5">
        <f t="shared" si="29"/>
        <v>0</v>
      </c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J53" s="24"/>
      <c r="BK53" s="25"/>
      <c r="BL53" s="24"/>
    </row>
    <row r="54" spans="2:79" ht="15" hidden="1" outlineLevel="1" x14ac:dyDescent="0.2">
      <c r="B54" s="18">
        <f t="shared" si="5"/>
        <v>43451</v>
      </c>
      <c r="C54" s="17" t="s">
        <v>1</v>
      </c>
      <c r="D54" s="19">
        <f t="shared" si="6"/>
        <v>43457</v>
      </c>
      <c r="E54" s="20">
        <f t="shared" si="7"/>
        <v>12</v>
      </c>
      <c r="F54" s="21">
        <f t="shared" si="8"/>
        <v>2018</v>
      </c>
      <c r="G54" s="11">
        <f t="shared" ref="G54:H69" si="33">G53</f>
        <v>22</v>
      </c>
      <c r="H54" s="10">
        <f t="shared" si="33"/>
        <v>66</v>
      </c>
      <c r="I54" s="11"/>
      <c r="J54" s="11"/>
      <c r="K54" s="11"/>
      <c r="L54" s="11"/>
      <c r="M54" s="11"/>
      <c r="N54" s="11"/>
      <c r="O54" s="14"/>
      <c r="P54" s="14"/>
      <c r="Q54" s="14"/>
      <c r="R54" s="14"/>
      <c r="S54" s="14"/>
      <c r="T54" s="14"/>
      <c r="V54" s="22">
        <f t="shared" si="32"/>
        <v>17</v>
      </c>
      <c r="W54" s="22">
        <f t="shared" si="32"/>
        <v>0</v>
      </c>
      <c r="X54" s="22">
        <f t="shared" si="32"/>
        <v>0</v>
      </c>
      <c r="Y54" s="22">
        <f t="shared" si="32"/>
        <v>0</v>
      </c>
      <c r="Z54" s="22">
        <f t="shared" si="32"/>
        <v>0</v>
      </c>
      <c r="AA54" s="22">
        <f t="shared" si="32"/>
        <v>0</v>
      </c>
      <c r="AB54" s="1"/>
      <c r="AC54" s="5">
        <f t="shared" si="14"/>
        <v>43</v>
      </c>
      <c r="AD54" s="5">
        <f t="shared" si="15"/>
        <v>33</v>
      </c>
      <c r="AE54" s="5">
        <f t="shared" si="16"/>
        <v>0</v>
      </c>
      <c r="AF54" s="5">
        <f t="shared" si="17"/>
        <v>0</v>
      </c>
      <c r="AG54" s="5">
        <f t="shared" si="18"/>
        <v>0</v>
      </c>
      <c r="AH54" s="5">
        <f t="shared" si="19"/>
        <v>0</v>
      </c>
      <c r="AI54" s="5">
        <f t="shared" si="20"/>
        <v>0</v>
      </c>
      <c r="AJ54" s="5">
        <f t="shared" si="21"/>
        <v>0</v>
      </c>
      <c r="AK54" s="5">
        <f t="shared" si="22"/>
        <v>0</v>
      </c>
      <c r="AL54" s="5">
        <f t="shared" si="23"/>
        <v>0</v>
      </c>
      <c r="AM54" s="5">
        <f t="shared" si="24"/>
        <v>0</v>
      </c>
      <c r="AN54" s="5">
        <f t="shared" si="25"/>
        <v>0</v>
      </c>
      <c r="AO54" s="5">
        <f t="shared" si="26"/>
        <v>0</v>
      </c>
      <c r="AP54" s="5">
        <f t="shared" si="27"/>
        <v>0</v>
      </c>
      <c r="AQ54" s="5">
        <f t="shared" si="28"/>
        <v>0</v>
      </c>
      <c r="AR54" s="5">
        <f t="shared" si="29"/>
        <v>0</v>
      </c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J54" s="24"/>
      <c r="BK54" s="25"/>
      <c r="BL54" s="24"/>
    </row>
    <row r="55" spans="2:79" ht="15" collapsed="1" x14ac:dyDescent="0.2">
      <c r="B55" s="18">
        <f t="shared" si="5"/>
        <v>43458</v>
      </c>
      <c r="C55" s="17" t="s">
        <v>1</v>
      </c>
      <c r="D55" s="19">
        <f t="shared" si="6"/>
        <v>43464</v>
      </c>
      <c r="E55" s="20">
        <f t="shared" si="7"/>
        <v>12</v>
      </c>
      <c r="F55" s="21">
        <f t="shared" si="8"/>
        <v>2018</v>
      </c>
      <c r="G55" s="11">
        <f t="shared" si="33"/>
        <v>22</v>
      </c>
      <c r="H55" s="10">
        <f t="shared" si="33"/>
        <v>66</v>
      </c>
      <c r="I55" s="11"/>
      <c r="J55" s="11"/>
      <c r="K55" s="11"/>
      <c r="L55" s="11"/>
      <c r="M55" s="11"/>
      <c r="N55" s="11"/>
      <c r="O55" s="14"/>
      <c r="P55" s="14"/>
      <c r="Q55" s="14"/>
      <c r="R55" s="14"/>
      <c r="S55" s="14"/>
      <c r="T55" s="14"/>
      <c r="V55" s="22">
        <f t="shared" si="32"/>
        <v>18</v>
      </c>
      <c r="W55" s="22">
        <f t="shared" si="32"/>
        <v>0</v>
      </c>
      <c r="X55" s="22">
        <f t="shared" si="32"/>
        <v>0</v>
      </c>
      <c r="Y55" s="22">
        <f t="shared" si="32"/>
        <v>0</v>
      </c>
      <c r="Z55" s="22">
        <f t="shared" si="32"/>
        <v>0</v>
      </c>
      <c r="AA55" s="22">
        <f t="shared" si="32"/>
        <v>0</v>
      </c>
      <c r="AB55" s="1"/>
      <c r="AC55" s="5">
        <f t="shared" si="14"/>
        <v>44</v>
      </c>
      <c r="AD55" s="5">
        <f t="shared" si="15"/>
        <v>34</v>
      </c>
      <c r="AE55" s="5">
        <f t="shared" si="16"/>
        <v>0</v>
      </c>
      <c r="AF55" s="5">
        <f t="shared" si="17"/>
        <v>0</v>
      </c>
      <c r="AG55" s="5">
        <f t="shared" si="18"/>
        <v>0</v>
      </c>
      <c r="AH55" s="5">
        <f t="shared" si="19"/>
        <v>0</v>
      </c>
      <c r="AI55" s="5">
        <f t="shared" si="20"/>
        <v>0</v>
      </c>
      <c r="AJ55" s="5">
        <f t="shared" si="21"/>
        <v>0</v>
      </c>
      <c r="AK55" s="5">
        <f t="shared" si="22"/>
        <v>0</v>
      </c>
      <c r="AL55" s="5">
        <f t="shared" si="23"/>
        <v>0</v>
      </c>
      <c r="AM55" s="5">
        <f t="shared" si="24"/>
        <v>0</v>
      </c>
      <c r="AN55" s="5">
        <f t="shared" si="25"/>
        <v>0</v>
      </c>
      <c r="AO55" s="5">
        <f t="shared" si="26"/>
        <v>0</v>
      </c>
      <c r="AP55" s="5">
        <f t="shared" si="27"/>
        <v>0</v>
      </c>
      <c r="AQ55" s="5">
        <f t="shared" si="28"/>
        <v>0</v>
      </c>
      <c r="AR55" s="5">
        <f t="shared" si="29"/>
        <v>0</v>
      </c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J55" s="24"/>
      <c r="BK55" s="25"/>
      <c r="BL55" s="24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CA55" s="58">
        <f t="shared" ref="CA55:CA107" si="34">B55</f>
        <v>43458</v>
      </c>
    </row>
    <row r="56" spans="2:79" ht="15" hidden="1" outlineLevel="1" x14ac:dyDescent="0.2">
      <c r="B56" s="18">
        <f t="shared" si="5"/>
        <v>43465</v>
      </c>
      <c r="C56" s="17" t="s">
        <v>1</v>
      </c>
      <c r="D56" s="19">
        <f t="shared" si="6"/>
        <v>43471</v>
      </c>
      <c r="E56" s="20">
        <f t="shared" si="7"/>
        <v>12</v>
      </c>
      <c r="F56" s="21">
        <f t="shared" si="8"/>
        <v>2019</v>
      </c>
      <c r="G56" s="11">
        <f t="shared" si="33"/>
        <v>22</v>
      </c>
      <c r="H56" s="10">
        <f t="shared" si="33"/>
        <v>66</v>
      </c>
      <c r="I56" s="11"/>
      <c r="J56" s="11"/>
      <c r="K56" s="11"/>
      <c r="L56" s="11"/>
      <c r="M56" s="11"/>
      <c r="N56" s="11"/>
      <c r="O56" s="14"/>
      <c r="P56" s="14"/>
      <c r="Q56" s="14"/>
      <c r="R56" s="14"/>
      <c r="S56" s="14"/>
      <c r="T56" s="14"/>
      <c r="V56" s="22">
        <f t="shared" si="32"/>
        <v>19</v>
      </c>
      <c r="W56" s="22">
        <f t="shared" si="32"/>
        <v>0</v>
      </c>
      <c r="X56" s="22">
        <f t="shared" si="32"/>
        <v>0</v>
      </c>
      <c r="Y56" s="22">
        <f t="shared" si="32"/>
        <v>0</v>
      </c>
      <c r="Z56" s="22">
        <f t="shared" si="32"/>
        <v>0</v>
      </c>
      <c r="AA56" s="22">
        <f t="shared" si="32"/>
        <v>0</v>
      </c>
      <c r="AB56" s="1"/>
      <c r="AC56" s="5">
        <f t="shared" si="14"/>
        <v>45</v>
      </c>
      <c r="AD56" s="5">
        <f t="shared" si="15"/>
        <v>35</v>
      </c>
      <c r="AE56" s="5">
        <f t="shared" si="16"/>
        <v>0</v>
      </c>
      <c r="AF56" s="5">
        <f t="shared" si="17"/>
        <v>0</v>
      </c>
      <c r="AG56" s="5">
        <f t="shared" si="18"/>
        <v>0</v>
      </c>
      <c r="AH56" s="5">
        <f t="shared" si="19"/>
        <v>0</v>
      </c>
      <c r="AI56" s="5">
        <f t="shared" si="20"/>
        <v>0</v>
      </c>
      <c r="AJ56" s="5">
        <f t="shared" si="21"/>
        <v>0</v>
      </c>
      <c r="AK56" s="5">
        <f t="shared" si="22"/>
        <v>0</v>
      </c>
      <c r="AL56" s="5">
        <f t="shared" si="23"/>
        <v>0</v>
      </c>
      <c r="AM56" s="5">
        <f t="shared" si="24"/>
        <v>0</v>
      </c>
      <c r="AN56" s="5">
        <f t="shared" si="25"/>
        <v>0</v>
      </c>
      <c r="AO56" s="5">
        <f t="shared" si="26"/>
        <v>0</v>
      </c>
      <c r="AP56" s="5">
        <f t="shared" si="27"/>
        <v>0</v>
      </c>
      <c r="AQ56" s="5">
        <f t="shared" si="28"/>
        <v>0</v>
      </c>
      <c r="AR56" s="5">
        <f t="shared" si="29"/>
        <v>0</v>
      </c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J56" s="24"/>
      <c r="BK56" s="25"/>
      <c r="BL56" s="24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CA56" s="58">
        <f t="shared" si="34"/>
        <v>43465</v>
      </c>
    </row>
    <row r="57" spans="2:79" ht="15" hidden="1" outlineLevel="1" x14ac:dyDescent="0.2">
      <c r="B57" s="18">
        <f t="shared" si="5"/>
        <v>43472</v>
      </c>
      <c r="C57" s="17" t="s">
        <v>1</v>
      </c>
      <c r="D57" s="19">
        <f t="shared" si="6"/>
        <v>43478</v>
      </c>
      <c r="E57" s="20">
        <f t="shared" si="7"/>
        <v>1</v>
      </c>
      <c r="F57" s="21">
        <f t="shared" si="8"/>
        <v>2019</v>
      </c>
      <c r="G57" s="11">
        <f t="shared" si="33"/>
        <v>22</v>
      </c>
      <c r="H57" s="10">
        <f t="shared" si="33"/>
        <v>66</v>
      </c>
      <c r="I57" s="11"/>
      <c r="J57" s="11"/>
      <c r="K57" s="11"/>
      <c r="L57" s="11"/>
      <c r="M57" s="11"/>
      <c r="N57" s="11"/>
      <c r="O57" s="14"/>
      <c r="P57" s="14"/>
      <c r="Q57" s="14"/>
      <c r="R57" s="14"/>
      <c r="S57" s="14"/>
      <c r="T57" s="14"/>
      <c r="V57" s="22">
        <f t="shared" si="32"/>
        <v>20</v>
      </c>
      <c r="W57" s="22">
        <f t="shared" si="32"/>
        <v>0</v>
      </c>
      <c r="X57" s="22">
        <f t="shared" si="32"/>
        <v>0</v>
      </c>
      <c r="Y57" s="22">
        <f t="shared" si="32"/>
        <v>0</v>
      </c>
      <c r="Z57" s="22">
        <f t="shared" si="32"/>
        <v>0</v>
      </c>
      <c r="AA57" s="22">
        <f t="shared" si="32"/>
        <v>0</v>
      </c>
      <c r="AB57" s="1"/>
      <c r="AC57" s="5">
        <f t="shared" si="14"/>
        <v>46</v>
      </c>
      <c r="AD57" s="5">
        <f t="shared" si="15"/>
        <v>36</v>
      </c>
      <c r="AE57" s="5">
        <f t="shared" si="16"/>
        <v>0</v>
      </c>
      <c r="AF57" s="5">
        <f t="shared" si="17"/>
        <v>0</v>
      </c>
      <c r="AG57" s="5">
        <f t="shared" si="18"/>
        <v>0</v>
      </c>
      <c r="AH57" s="5">
        <f t="shared" si="19"/>
        <v>0</v>
      </c>
      <c r="AI57" s="5">
        <f t="shared" si="20"/>
        <v>0</v>
      </c>
      <c r="AJ57" s="5">
        <f t="shared" si="21"/>
        <v>0</v>
      </c>
      <c r="AK57" s="5">
        <f t="shared" si="22"/>
        <v>0</v>
      </c>
      <c r="AL57" s="5">
        <f t="shared" si="23"/>
        <v>0</v>
      </c>
      <c r="AM57" s="5">
        <f t="shared" si="24"/>
        <v>0</v>
      </c>
      <c r="AN57" s="5">
        <f t="shared" si="25"/>
        <v>0</v>
      </c>
      <c r="AO57" s="5">
        <f t="shared" si="26"/>
        <v>0</v>
      </c>
      <c r="AP57" s="5">
        <f t="shared" si="27"/>
        <v>0</v>
      </c>
      <c r="AQ57" s="5">
        <f t="shared" si="28"/>
        <v>0</v>
      </c>
      <c r="AR57" s="5">
        <f t="shared" si="29"/>
        <v>0</v>
      </c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J57" s="24"/>
      <c r="BK57" s="25"/>
      <c r="BL57" s="24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CA57" s="58">
        <f t="shared" si="34"/>
        <v>43472</v>
      </c>
    </row>
    <row r="58" spans="2:79" ht="15" hidden="1" outlineLevel="1" x14ac:dyDescent="0.2">
      <c r="B58" s="18">
        <f t="shared" si="5"/>
        <v>43479</v>
      </c>
      <c r="C58" s="17" t="s">
        <v>1</v>
      </c>
      <c r="D58" s="19">
        <f t="shared" si="6"/>
        <v>43485</v>
      </c>
      <c r="E58" s="20">
        <f t="shared" si="7"/>
        <v>1</v>
      </c>
      <c r="F58" s="21">
        <f t="shared" si="8"/>
        <v>2019</v>
      </c>
      <c r="G58" s="11">
        <f t="shared" si="33"/>
        <v>22</v>
      </c>
      <c r="H58" s="10">
        <f t="shared" si="33"/>
        <v>66</v>
      </c>
      <c r="I58" s="11"/>
      <c r="J58" s="11"/>
      <c r="K58" s="11"/>
      <c r="L58" s="11"/>
      <c r="M58" s="11"/>
      <c r="N58" s="11"/>
      <c r="O58" s="14"/>
      <c r="P58" s="14"/>
      <c r="Q58" s="14"/>
      <c r="R58" s="14"/>
      <c r="S58" s="14"/>
      <c r="T58" s="14"/>
      <c r="V58" s="22">
        <f t="shared" si="32"/>
        <v>21</v>
      </c>
      <c r="W58" s="22">
        <f t="shared" si="32"/>
        <v>0</v>
      </c>
      <c r="X58" s="22">
        <f t="shared" si="32"/>
        <v>0</v>
      </c>
      <c r="Y58" s="22">
        <f t="shared" si="32"/>
        <v>0</v>
      </c>
      <c r="Z58" s="22">
        <f t="shared" si="32"/>
        <v>0</v>
      </c>
      <c r="AA58" s="22">
        <f t="shared" si="32"/>
        <v>0</v>
      </c>
      <c r="AB58" s="1"/>
      <c r="AC58" s="5">
        <f t="shared" si="14"/>
        <v>47</v>
      </c>
      <c r="AD58" s="5">
        <f t="shared" si="15"/>
        <v>37</v>
      </c>
      <c r="AE58" s="5">
        <f t="shared" si="16"/>
        <v>0</v>
      </c>
      <c r="AF58" s="5">
        <f t="shared" si="17"/>
        <v>0</v>
      </c>
      <c r="AG58" s="5">
        <f t="shared" si="18"/>
        <v>0</v>
      </c>
      <c r="AH58" s="5">
        <f t="shared" si="19"/>
        <v>0</v>
      </c>
      <c r="AI58" s="5">
        <f t="shared" si="20"/>
        <v>0</v>
      </c>
      <c r="AJ58" s="5">
        <f t="shared" si="21"/>
        <v>0</v>
      </c>
      <c r="AK58" s="5">
        <f t="shared" si="22"/>
        <v>0</v>
      </c>
      <c r="AL58" s="5">
        <f t="shared" si="23"/>
        <v>0</v>
      </c>
      <c r="AM58" s="5">
        <f t="shared" si="24"/>
        <v>0</v>
      </c>
      <c r="AN58" s="5">
        <f t="shared" si="25"/>
        <v>0</v>
      </c>
      <c r="AO58" s="5">
        <f t="shared" si="26"/>
        <v>0</v>
      </c>
      <c r="AP58" s="5">
        <f t="shared" si="27"/>
        <v>0</v>
      </c>
      <c r="AQ58" s="5">
        <f t="shared" si="28"/>
        <v>0</v>
      </c>
      <c r="AR58" s="5">
        <f t="shared" si="29"/>
        <v>0</v>
      </c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J58" s="24"/>
      <c r="BK58" s="25"/>
      <c r="BL58" s="24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CA58" s="58">
        <f t="shared" si="34"/>
        <v>43479</v>
      </c>
    </row>
    <row r="59" spans="2:79" ht="15" hidden="1" outlineLevel="1" x14ac:dyDescent="0.2">
      <c r="B59" s="18">
        <f t="shared" si="5"/>
        <v>43486</v>
      </c>
      <c r="C59" s="17" t="s">
        <v>1</v>
      </c>
      <c r="D59" s="19">
        <f t="shared" si="6"/>
        <v>43492</v>
      </c>
      <c r="E59" s="20">
        <f t="shared" si="7"/>
        <v>1</v>
      </c>
      <c r="F59" s="21">
        <f t="shared" si="8"/>
        <v>2019</v>
      </c>
      <c r="G59" s="11">
        <f t="shared" si="33"/>
        <v>22</v>
      </c>
      <c r="H59" s="10">
        <f t="shared" si="33"/>
        <v>66</v>
      </c>
      <c r="I59" s="11"/>
      <c r="J59" s="11"/>
      <c r="K59" s="11"/>
      <c r="L59" s="11"/>
      <c r="M59" s="11"/>
      <c r="N59" s="11"/>
      <c r="O59" s="14"/>
      <c r="P59" s="14"/>
      <c r="Q59" s="14"/>
      <c r="R59" s="14"/>
      <c r="S59" s="14"/>
      <c r="T59" s="14"/>
      <c r="V59" s="22">
        <f t="shared" si="32"/>
        <v>22</v>
      </c>
      <c r="W59" s="22">
        <f t="shared" si="32"/>
        <v>0</v>
      </c>
      <c r="X59" s="22">
        <f t="shared" si="32"/>
        <v>0</v>
      </c>
      <c r="Y59" s="22">
        <f t="shared" si="32"/>
        <v>0</v>
      </c>
      <c r="Z59" s="22">
        <f t="shared" si="32"/>
        <v>0</v>
      </c>
      <c r="AA59" s="22">
        <f t="shared" si="32"/>
        <v>0</v>
      </c>
      <c r="AB59" s="1"/>
      <c r="AC59" s="5">
        <f t="shared" si="14"/>
        <v>48</v>
      </c>
      <c r="AD59" s="5">
        <f t="shared" si="15"/>
        <v>38</v>
      </c>
      <c r="AE59" s="5">
        <f t="shared" si="16"/>
        <v>22</v>
      </c>
      <c r="AF59" s="5">
        <f t="shared" si="17"/>
        <v>0</v>
      </c>
      <c r="AG59" s="5">
        <f t="shared" si="18"/>
        <v>0</v>
      </c>
      <c r="AH59" s="5">
        <f t="shared" si="19"/>
        <v>0</v>
      </c>
      <c r="AI59" s="5">
        <f t="shared" si="20"/>
        <v>0</v>
      </c>
      <c r="AJ59" s="5">
        <f t="shared" si="21"/>
        <v>0</v>
      </c>
      <c r="AK59" s="5">
        <f t="shared" si="22"/>
        <v>0</v>
      </c>
      <c r="AL59" s="5">
        <f t="shared" si="23"/>
        <v>0</v>
      </c>
      <c r="AM59" s="5">
        <f t="shared" si="24"/>
        <v>0</v>
      </c>
      <c r="AN59" s="5">
        <f t="shared" si="25"/>
        <v>0</v>
      </c>
      <c r="AO59" s="5">
        <f t="shared" si="26"/>
        <v>0</v>
      </c>
      <c r="AP59" s="5">
        <f t="shared" si="27"/>
        <v>0</v>
      </c>
      <c r="AQ59" s="5">
        <f t="shared" si="28"/>
        <v>0</v>
      </c>
      <c r="AR59" s="5">
        <f t="shared" si="29"/>
        <v>0</v>
      </c>
      <c r="AS59" s="10"/>
      <c r="AT59" s="10"/>
      <c r="AU59" s="10">
        <v>1</v>
      </c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J59" s="24"/>
      <c r="BK59" s="25"/>
      <c r="BL59" s="24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CA59" s="58">
        <f t="shared" si="34"/>
        <v>43486</v>
      </c>
    </row>
    <row r="60" spans="2:79" ht="15" hidden="1" outlineLevel="1" x14ac:dyDescent="0.2">
      <c r="B60" s="18">
        <f t="shared" si="5"/>
        <v>43493</v>
      </c>
      <c r="C60" s="17" t="s">
        <v>1</v>
      </c>
      <c r="D60" s="19">
        <f t="shared" si="6"/>
        <v>43499</v>
      </c>
      <c r="E60" s="20">
        <f t="shared" si="7"/>
        <v>1</v>
      </c>
      <c r="F60" s="21">
        <f t="shared" si="8"/>
        <v>2019</v>
      </c>
      <c r="G60" s="11">
        <f t="shared" si="33"/>
        <v>22</v>
      </c>
      <c r="H60" s="10">
        <f t="shared" si="33"/>
        <v>66</v>
      </c>
      <c r="I60" s="11"/>
      <c r="J60" s="11"/>
      <c r="K60" s="11"/>
      <c r="L60" s="11"/>
      <c r="M60" s="11"/>
      <c r="N60" s="11"/>
      <c r="O60" s="14"/>
      <c r="P60" s="14"/>
      <c r="Q60" s="14"/>
      <c r="R60" s="14"/>
      <c r="S60" s="14"/>
      <c r="T60" s="14"/>
      <c r="V60" s="22">
        <f t="shared" si="32"/>
        <v>0</v>
      </c>
      <c r="W60" s="22">
        <f t="shared" si="32"/>
        <v>0</v>
      </c>
      <c r="X60" s="22">
        <f t="shared" si="32"/>
        <v>0</v>
      </c>
      <c r="Y60" s="22">
        <f t="shared" si="32"/>
        <v>0</v>
      </c>
      <c r="Z60" s="22">
        <f t="shared" si="32"/>
        <v>0</v>
      </c>
      <c r="AA60" s="22">
        <f t="shared" si="32"/>
        <v>0</v>
      </c>
      <c r="AB60" s="1"/>
      <c r="AC60" s="5">
        <f t="shared" si="14"/>
        <v>49</v>
      </c>
      <c r="AD60" s="5">
        <f t="shared" si="15"/>
        <v>39</v>
      </c>
      <c r="AE60" s="5">
        <f t="shared" si="16"/>
        <v>23</v>
      </c>
      <c r="AF60" s="5">
        <f t="shared" si="17"/>
        <v>0</v>
      </c>
      <c r="AG60" s="5">
        <f t="shared" si="18"/>
        <v>0</v>
      </c>
      <c r="AH60" s="5">
        <f t="shared" si="19"/>
        <v>0</v>
      </c>
      <c r="AI60" s="5">
        <f t="shared" si="20"/>
        <v>0</v>
      </c>
      <c r="AJ60" s="5">
        <f t="shared" si="21"/>
        <v>0</v>
      </c>
      <c r="AK60" s="5">
        <f t="shared" si="22"/>
        <v>0</v>
      </c>
      <c r="AL60" s="5">
        <f t="shared" si="23"/>
        <v>0</v>
      </c>
      <c r="AM60" s="5">
        <f t="shared" si="24"/>
        <v>0</v>
      </c>
      <c r="AN60" s="5">
        <f t="shared" si="25"/>
        <v>0</v>
      </c>
      <c r="AO60" s="5">
        <f t="shared" si="26"/>
        <v>0</v>
      </c>
      <c r="AP60" s="5">
        <f t="shared" si="27"/>
        <v>0</v>
      </c>
      <c r="AQ60" s="5">
        <f t="shared" si="28"/>
        <v>0</v>
      </c>
      <c r="AR60" s="5">
        <f t="shared" si="29"/>
        <v>0</v>
      </c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CA60" s="58">
        <f t="shared" si="34"/>
        <v>43493</v>
      </c>
    </row>
    <row r="61" spans="2:79" ht="15" hidden="1" outlineLevel="1" x14ac:dyDescent="0.2">
      <c r="B61" s="18">
        <f t="shared" si="5"/>
        <v>43500</v>
      </c>
      <c r="C61" s="17" t="s">
        <v>1</v>
      </c>
      <c r="D61" s="19">
        <f t="shared" si="6"/>
        <v>43506</v>
      </c>
      <c r="E61" s="20">
        <f t="shared" si="7"/>
        <v>2</v>
      </c>
      <c r="F61" s="21">
        <f t="shared" si="8"/>
        <v>2019</v>
      </c>
      <c r="G61" s="11">
        <f t="shared" si="33"/>
        <v>22</v>
      </c>
      <c r="H61" s="10">
        <f t="shared" si="33"/>
        <v>66</v>
      </c>
      <c r="I61" s="11"/>
      <c r="J61" s="11"/>
      <c r="K61" s="11"/>
      <c r="L61" s="11"/>
      <c r="M61" s="11"/>
      <c r="N61" s="11"/>
      <c r="O61" s="14"/>
      <c r="P61" s="14"/>
      <c r="Q61" s="14"/>
      <c r="R61" s="14"/>
      <c r="S61" s="14"/>
      <c r="T61" s="14"/>
      <c r="V61" s="22">
        <f t="shared" si="32"/>
        <v>0</v>
      </c>
      <c r="W61" s="22">
        <f t="shared" si="32"/>
        <v>0</v>
      </c>
      <c r="X61" s="22">
        <f t="shared" si="32"/>
        <v>0</v>
      </c>
      <c r="Y61" s="22">
        <f t="shared" si="32"/>
        <v>0</v>
      </c>
      <c r="Z61" s="22">
        <f t="shared" si="32"/>
        <v>0</v>
      </c>
      <c r="AA61" s="22">
        <f t="shared" si="32"/>
        <v>0</v>
      </c>
      <c r="AB61" s="1"/>
      <c r="AC61" s="5">
        <f t="shared" si="14"/>
        <v>50</v>
      </c>
      <c r="AD61" s="5">
        <f t="shared" si="15"/>
        <v>40</v>
      </c>
      <c r="AE61" s="5">
        <f t="shared" si="16"/>
        <v>24</v>
      </c>
      <c r="AF61" s="5">
        <f t="shared" si="17"/>
        <v>0</v>
      </c>
      <c r="AG61" s="5">
        <f t="shared" si="18"/>
        <v>0</v>
      </c>
      <c r="AH61" s="5">
        <f t="shared" si="19"/>
        <v>0</v>
      </c>
      <c r="AI61" s="5">
        <f t="shared" si="20"/>
        <v>0</v>
      </c>
      <c r="AJ61" s="5">
        <f t="shared" si="21"/>
        <v>0</v>
      </c>
      <c r="AK61" s="5">
        <f t="shared" si="22"/>
        <v>0</v>
      </c>
      <c r="AL61" s="5">
        <f t="shared" si="23"/>
        <v>0</v>
      </c>
      <c r="AM61" s="5">
        <f t="shared" si="24"/>
        <v>0</v>
      </c>
      <c r="AN61" s="5">
        <f t="shared" si="25"/>
        <v>0</v>
      </c>
      <c r="AO61" s="5">
        <f t="shared" si="26"/>
        <v>0</v>
      </c>
      <c r="AP61" s="5">
        <f t="shared" si="27"/>
        <v>0</v>
      </c>
      <c r="AQ61" s="5">
        <f t="shared" si="28"/>
        <v>0</v>
      </c>
      <c r="AR61" s="5">
        <f t="shared" si="29"/>
        <v>0</v>
      </c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CA61" s="58">
        <f t="shared" si="34"/>
        <v>43500</v>
      </c>
    </row>
    <row r="62" spans="2:79" ht="15" hidden="1" outlineLevel="1" x14ac:dyDescent="0.2">
      <c r="B62" s="18">
        <f t="shared" si="5"/>
        <v>43507</v>
      </c>
      <c r="C62" s="17" t="s">
        <v>1</v>
      </c>
      <c r="D62" s="19">
        <f t="shared" si="6"/>
        <v>43513</v>
      </c>
      <c r="E62" s="20">
        <f t="shared" si="7"/>
        <v>2</v>
      </c>
      <c r="F62" s="21">
        <f t="shared" si="8"/>
        <v>2019</v>
      </c>
      <c r="G62" s="11">
        <f t="shared" si="33"/>
        <v>22</v>
      </c>
      <c r="H62" s="10">
        <f t="shared" si="33"/>
        <v>66</v>
      </c>
      <c r="I62" s="11"/>
      <c r="J62" s="11"/>
      <c r="K62" s="11"/>
      <c r="L62" s="11"/>
      <c r="M62" s="11"/>
      <c r="N62" s="11"/>
      <c r="O62" s="14"/>
      <c r="P62" s="14"/>
      <c r="Q62" s="14"/>
      <c r="R62" s="14"/>
      <c r="S62" s="14"/>
      <c r="T62" s="14"/>
      <c r="V62" s="22">
        <f t="shared" si="32"/>
        <v>0</v>
      </c>
      <c r="W62" s="22">
        <f t="shared" si="32"/>
        <v>0</v>
      </c>
      <c r="X62" s="22">
        <f t="shared" si="32"/>
        <v>0</v>
      </c>
      <c r="Y62" s="22">
        <f t="shared" si="32"/>
        <v>0</v>
      </c>
      <c r="Z62" s="22">
        <f t="shared" si="32"/>
        <v>0</v>
      </c>
      <c r="AA62" s="22">
        <f t="shared" si="32"/>
        <v>0</v>
      </c>
      <c r="AB62" s="1"/>
      <c r="AC62" s="5">
        <f t="shared" si="14"/>
        <v>51</v>
      </c>
      <c r="AD62" s="5">
        <f t="shared" si="15"/>
        <v>41</v>
      </c>
      <c r="AE62" s="5">
        <f t="shared" si="16"/>
        <v>25</v>
      </c>
      <c r="AF62" s="5">
        <f t="shared" si="17"/>
        <v>0</v>
      </c>
      <c r="AG62" s="5">
        <f t="shared" si="18"/>
        <v>0</v>
      </c>
      <c r="AH62" s="5">
        <f t="shared" si="19"/>
        <v>0</v>
      </c>
      <c r="AI62" s="5">
        <f t="shared" si="20"/>
        <v>0</v>
      </c>
      <c r="AJ62" s="5">
        <f t="shared" si="21"/>
        <v>0</v>
      </c>
      <c r="AK62" s="5">
        <f t="shared" si="22"/>
        <v>0</v>
      </c>
      <c r="AL62" s="5">
        <f t="shared" si="23"/>
        <v>0</v>
      </c>
      <c r="AM62" s="5">
        <f t="shared" si="24"/>
        <v>0</v>
      </c>
      <c r="AN62" s="5">
        <f t="shared" si="25"/>
        <v>0</v>
      </c>
      <c r="AO62" s="5">
        <f t="shared" si="26"/>
        <v>0</v>
      </c>
      <c r="AP62" s="5">
        <f t="shared" si="27"/>
        <v>0</v>
      </c>
      <c r="AQ62" s="5">
        <f t="shared" si="28"/>
        <v>0</v>
      </c>
      <c r="AR62" s="5">
        <f t="shared" si="29"/>
        <v>0</v>
      </c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CA62" s="58">
        <f t="shared" si="34"/>
        <v>43507</v>
      </c>
    </row>
    <row r="63" spans="2:79" ht="15" hidden="1" outlineLevel="1" x14ac:dyDescent="0.2">
      <c r="B63" s="18">
        <f t="shared" si="5"/>
        <v>43514</v>
      </c>
      <c r="C63" s="17" t="s">
        <v>1</v>
      </c>
      <c r="D63" s="19">
        <f t="shared" si="6"/>
        <v>43520</v>
      </c>
      <c r="E63" s="20">
        <f t="shared" si="7"/>
        <v>2</v>
      </c>
      <c r="F63" s="21">
        <f t="shared" si="8"/>
        <v>2019</v>
      </c>
      <c r="G63" s="11">
        <f t="shared" si="33"/>
        <v>22</v>
      </c>
      <c r="H63" s="10">
        <f t="shared" si="33"/>
        <v>66</v>
      </c>
      <c r="I63" s="11"/>
      <c r="J63" s="11"/>
      <c r="K63" s="11"/>
      <c r="L63" s="11"/>
      <c r="M63" s="11"/>
      <c r="N63" s="11"/>
      <c r="O63" s="14"/>
      <c r="P63" s="14"/>
      <c r="Q63" s="14"/>
      <c r="R63" s="14"/>
      <c r="S63" s="14"/>
      <c r="T63" s="14"/>
      <c r="V63" s="22">
        <f t="shared" si="32"/>
        <v>0</v>
      </c>
      <c r="W63" s="22">
        <f t="shared" si="32"/>
        <v>0</v>
      </c>
      <c r="X63" s="22">
        <f t="shared" si="32"/>
        <v>0</v>
      </c>
      <c r="Y63" s="22">
        <f t="shared" si="32"/>
        <v>0</v>
      </c>
      <c r="Z63" s="22">
        <f t="shared" si="32"/>
        <v>0</v>
      </c>
      <c r="AA63" s="22">
        <f t="shared" si="32"/>
        <v>0</v>
      </c>
      <c r="AB63" s="1"/>
      <c r="AC63" s="5">
        <f t="shared" si="14"/>
        <v>52</v>
      </c>
      <c r="AD63" s="5">
        <f t="shared" si="15"/>
        <v>42</v>
      </c>
      <c r="AE63" s="5">
        <f t="shared" si="16"/>
        <v>26</v>
      </c>
      <c r="AF63" s="5">
        <f t="shared" si="17"/>
        <v>0</v>
      </c>
      <c r="AG63" s="5">
        <f t="shared" si="18"/>
        <v>0</v>
      </c>
      <c r="AH63" s="5">
        <f t="shared" si="19"/>
        <v>0</v>
      </c>
      <c r="AI63" s="5">
        <f t="shared" si="20"/>
        <v>0</v>
      </c>
      <c r="AJ63" s="5">
        <f t="shared" si="21"/>
        <v>0</v>
      </c>
      <c r="AK63" s="5">
        <f t="shared" si="22"/>
        <v>0</v>
      </c>
      <c r="AL63" s="5">
        <f t="shared" si="23"/>
        <v>0</v>
      </c>
      <c r="AM63" s="5">
        <f t="shared" si="24"/>
        <v>0</v>
      </c>
      <c r="AN63" s="5">
        <f t="shared" si="25"/>
        <v>0</v>
      </c>
      <c r="AO63" s="5">
        <f t="shared" si="26"/>
        <v>0</v>
      </c>
      <c r="AP63" s="5">
        <f t="shared" si="27"/>
        <v>0</v>
      </c>
      <c r="AQ63" s="5">
        <f t="shared" si="28"/>
        <v>0</v>
      </c>
      <c r="AR63" s="5">
        <f t="shared" si="29"/>
        <v>0</v>
      </c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CA63" s="58">
        <f t="shared" si="34"/>
        <v>43514</v>
      </c>
    </row>
    <row r="64" spans="2:79" ht="15" hidden="1" outlineLevel="1" x14ac:dyDescent="0.2">
      <c r="B64" s="18">
        <f t="shared" si="5"/>
        <v>43521</v>
      </c>
      <c r="C64" s="17" t="s">
        <v>1</v>
      </c>
      <c r="D64" s="19">
        <f t="shared" si="6"/>
        <v>43527</v>
      </c>
      <c r="E64" s="20">
        <f t="shared" si="7"/>
        <v>2</v>
      </c>
      <c r="F64" s="21">
        <f t="shared" si="8"/>
        <v>2019</v>
      </c>
      <c r="G64" s="11">
        <f t="shared" si="33"/>
        <v>22</v>
      </c>
      <c r="H64" s="10">
        <f t="shared" si="33"/>
        <v>66</v>
      </c>
      <c r="I64" s="11"/>
      <c r="J64" s="11"/>
      <c r="K64" s="11"/>
      <c r="L64" s="11"/>
      <c r="M64" s="11"/>
      <c r="N64" s="11"/>
      <c r="O64" s="14">
        <v>1</v>
      </c>
      <c r="P64" s="14"/>
      <c r="Q64" s="14"/>
      <c r="R64" s="14"/>
      <c r="S64" s="14"/>
      <c r="T64" s="14"/>
      <c r="V64" s="22">
        <f t="shared" si="32"/>
        <v>43523</v>
      </c>
      <c r="W64" s="22">
        <f t="shared" si="32"/>
        <v>0</v>
      </c>
      <c r="X64" s="22">
        <f t="shared" si="32"/>
        <v>0</v>
      </c>
      <c r="Y64" s="22">
        <f t="shared" si="32"/>
        <v>0</v>
      </c>
      <c r="Z64" s="22">
        <f t="shared" si="32"/>
        <v>0</v>
      </c>
      <c r="AA64" s="22">
        <f t="shared" si="32"/>
        <v>0</v>
      </c>
      <c r="AB64" s="1"/>
      <c r="AC64" s="5">
        <f t="shared" si="14"/>
        <v>53</v>
      </c>
      <c r="AD64" s="5">
        <f t="shared" si="15"/>
        <v>43</v>
      </c>
      <c r="AE64" s="5">
        <f t="shared" si="16"/>
        <v>27</v>
      </c>
      <c r="AF64" s="5">
        <f t="shared" si="17"/>
        <v>0</v>
      </c>
      <c r="AG64" s="5">
        <f t="shared" si="18"/>
        <v>0</v>
      </c>
      <c r="AH64" s="5">
        <f t="shared" si="19"/>
        <v>0</v>
      </c>
      <c r="AI64" s="5">
        <f t="shared" si="20"/>
        <v>0</v>
      </c>
      <c r="AJ64" s="5">
        <f t="shared" si="21"/>
        <v>0</v>
      </c>
      <c r="AK64" s="5">
        <f t="shared" si="22"/>
        <v>0</v>
      </c>
      <c r="AL64" s="5">
        <f t="shared" si="23"/>
        <v>0</v>
      </c>
      <c r="AM64" s="5">
        <f t="shared" si="24"/>
        <v>0</v>
      </c>
      <c r="AN64" s="5">
        <f t="shared" si="25"/>
        <v>0</v>
      </c>
      <c r="AO64" s="5">
        <f t="shared" si="26"/>
        <v>0</v>
      </c>
      <c r="AP64" s="5">
        <f t="shared" si="27"/>
        <v>0</v>
      </c>
      <c r="AQ64" s="5">
        <f t="shared" si="28"/>
        <v>0</v>
      </c>
      <c r="AR64" s="5">
        <f t="shared" si="29"/>
        <v>0</v>
      </c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CA64" s="58">
        <f t="shared" si="34"/>
        <v>43521</v>
      </c>
    </row>
    <row r="65" spans="2:79" ht="15" hidden="1" outlineLevel="1" x14ac:dyDescent="0.2">
      <c r="B65" s="18">
        <f t="shared" si="5"/>
        <v>43528</v>
      </c>
      <c r="C65" s="17" t="s">
        <v>1</v>
      </c>
      <c r="D65" s="19">
        <f t="shared" si="6"/>
        <v>43534</v>
      </c>
      <c r="E65" s="20">
        <f t="shared" si="7"/>
        <v>3</v>
      </c>
      <c r="F65" s="21">
        <f t="shared" si="8"/>
        <v>2019</v>
      </c>
      <c r="G65" s="11">
        <f t="shared" si="33"/>
        <v>22</v>
      </c>
      <c r="H65" s="10">
        <f t="shared" si="33"/>
        <v>66</v>
      </c>
      <c r="I65" s="11"/>
      <c r="J65" s="11"/>
      <c r="K65" s="11"/>
      <c r="L65" s="11"/>
      <c r="M65" s="11"/>
      <c r="N65" s="11"/>
      <c r="O65" s="14"/>
      <c r="P65" s="14"/>
      <c r="Q65" s="14"/>
      <c r="R65" s="14"/>
      <c r="S65" s="14"/>
      <c r="T65" s="14"/>
      <c r="V65" s="22">
        <f t="shared" si="32"/>
        <v>1</v>
      </c>
      <c r="W65" s="22">
        <f t="shared" si="32"/>
        <v>0</v>
      </c>
      <c r="X65" s="22">
        <f t="shared" si="32"/>
        <v>0</v>
      </c>
      <c r="Y65" s="22">
        <f t="shared" si="32"/>
        <v>0</v>
      </c>
      <c r="Z65" s="22">
        <f t="shared" si="32"/>
        <v>0</v>
      </c>
      <c r="AA65" s="22">
        <f t="shared" si="32"/>
        <v>0</v>
      </c>
      <c r="AB65" s="1"/>
      <c r="AC65" s="5">
        <f t="shared" si="14"/>
        <v>54</v>
      </c>
      <c r="AD65" s="5">
        <f t="shared" si="15"/>
        <v>44</v>
      </c>
      <c r="AE65" s="5">
        <f t="shared" si="16"/>
        <v>28</v>
      </c>
      <c r="AF65" s="5">
        <f t="shared" si="17"/>
        <v>0</v>
      </c>
      <c r="AG65" s="5">
        <f t="shared" si="18"/>
        <v>0</v>
      </c>
      <c r="AH65" s="5">
        <f t="shared" si="19"/>
        <v>0</v>
      </c>
      <c r="AI65" s="5">
        <f t="shared" si="20"/>
        <v>0</v>
      </c>
      <c r="AJ65" s="5">
        <f t="shared" si="21"/>
        <v>0</v>
      </c>
      <c r="AK65" s="5">
        <f t="shared" si="22"/>
        <v>0</v>
      </c>
      <c r="AL65" s="5">
        <f t="shared" si="23"/>
        <v>0</v>
      </c>
      <c r="AM65" s="5">
        <f t="shared" si="24"/>
        <v>0</v>
      </c>
      <c r="AN65" s="5">
        <f t="shared" si="25"/>
        <v>0</v>
      </c>
      <c r="AO65" s="5">
        <f t="shared" si="26"/>
        <v>0</v>
      </c>
      <c r="AP65" s="5">
        <f t="shared" si="27"/>
        <v>0</v>
      </c>
      <c r="AQ65" s="5">
        <f t="shared" si="28"/>
        <v>0</v>
      </c>
      <c r="AR65" s="5">
        <f t="shared" si="29"/>
        <v>0</v>
      </c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CA65" s="58">
        <f t="shared" si="34"/>
        <v>43528</v>
      </c>
    </row>
    <row r="66" spans="2:79" ht="15" hidden="1" outlineLevel="1" x14ac:dyDescent="0.2">
      <c r="B66" s="18">
        <f t="shared" si="5"/>
        <v>43535</v>
      </c>
      <c r="C66" s="17" t="s">
        <v>1</v>
      </c>
      <c r="D66" s="19">
        <f t="shared" si="6"/>
        <v>43541</v>
      </c>
      <c r="E66" s="20">
        <f t="shared" si="7"/>
        <v>3</v>
      </c>
      <c r="F66" s="21">
        <f t="shared" si="8"/>
        <v>2019</v>
      </c>
      <c r="G66" s="11">
        <f t="shared" si="33"/>
        <v>22</v>
      </c>
      <c r="H66" s="10">
        <f t="shared" si="33"/>
        <v>66</v>
      </c>
      <c r="I66" s="11"/>
      <c r="J66" s="11"/>
      <c r="K66" s="11"/>
      <c r="L66" s="11"/>
      <c r="M66" s="11"/>
      <c r="N66" s="11"/>
      <c r="O66" s="14"/>
      <c r="P66" s="14"/>
      <c r="Q66" s="14"/>
      <c r="R66" s="14"/>
      <c r="S66" s="14"/>
      <c r="T66" s="14"/>
      <c r="V66" s="22">
        <f t="shared" si="32"/>
        <v>2</v>
      </c>
      <c r="W66" s="22">
        <f t="shared" si="32"/>
        <v>0</v>
      </c>
      <c r="X66" s="22">
        <f t="shared" si="32"/>
        <v>0</v>
      </c>
      <c r="Y66" s="22">
        <f t="shared" si="32"/>
        <v>0</v>
      </c>
      <c r="Z66" s="22">
        <f t="shared" si="32"/>
        <v>0</v>
      </c>
      <c r="AA66" s="22">
        <f t="shared" si="32"/>
        <v>0</v>
      </c>
      <c r="AB66" s="1"/>
      <c r="AC66" s="5">
        <f t="shared" si="14"/>
        <v>55</v>
      </c>
      <c r="AD66" s="5">
        <f t="shared" si="15"/>
        <v>45</v>
      </c>
      <c r="AE66" s="5">
        <f t="shared" si="16"/>
        <v>29</v>
      </c>
      <c r="AF66" s="5">
        <f t="shared" si="17"/>
        <v>0</v>
      </c>
      <c r="AG66" s="5">
        <f t="shared" si="18"/>
        <v>0</v>
      </c>
      <c r="AH66" s="5">
        <f t="shared" si="19"/>
        <v>0</v>
      </c>
      <c r="AI66" s="5">
        <f t="shared" si="20"/>
        <v>0</v>
      </c>
      <c r="AJ66" s="5">
        <f t="shared" si="21"/>
        <v>0</v>
      </c>
      <c r="AK66" s="5">
        <f t="shared" si="22"/>
        <v>0</v>
      </c>
      <c r="AL66" s="5">
        <f t="shared" si="23"/>
        <v>0</v>
      </c>
      <c r="AM66" s="5">
        <f t="shared" si="24"/>
        <v>0</v>
      </c>
      <c r="AN66" s="5">
        <f t="shared" si="25"/>
        <v>0</v>
      </c>
      <c r="AO66" s="5">
        <f t="shared" si="26"/>
        <v>0</v>
      </c>
      <c r="AP66" s="5">
        <f t="shared" si="27"/>
        <v>0</v>
      </c>
      <c r="AQ66" s="5">
        <f t="shared" si="28"/>
        <v>0</v>
      </c>
      <c r="AR66" s="5">
        <f t="shared" si="29"/>
        <v>0</v>
      </c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CA66" s="58">
        <f t="shared" si="34"/>
        <v>43535</v>
      </c>
    </row>
    <row r="67" spans="2:79" ht="15" hidden="1" outlineLevel="1" x14ac:dyDescent="0.2">
      <c r="B67" s="18">
        <f t="shared" si="5"/>
        <v>43542</v>
      </c>
      <c r="C67" s="17" t="s">
        <v>1</v>
      </c>
      <c r="D67" s="19">
        <f t="shared" si="6"/>
        <v>43548</v>
      </c>
      <c r="E67" s="20">
        <f t="shared" si="7"/>
        <v>3</v>
      </c>
      <c r="F67" s="21">
        <f t="shared" si="8"/>
        <v>2019</v>
      </c>
      <c r="G67" s="11">
        <f t="shared" si="33"/>
        <v>22</v>
      </c>
      <c r="H67" s="10">
        <f t="shared" si="33"/>
        <v>66</v>
      </c>
      <c r="I67" s="11"/>
      <c r="J67" s="11"/>
      <c r="K67" s="11"/>
      <c r="L67" s="11"/>
      <c r="M67" s="11"/>
      <c r="N67" s="11"/>
      <c r="O67" s="14"/>
      <c r="P67" s="14"/>
      <c r="Q67" s="14"/>
      <c r="R67" s="14"/>
      <c r="S67" s="14"/>
      <c r="T67" s="14"/>
      <c r="V67" s="22">
        <f t="shared" si="32"/>
        <v>3</v>
      </c>
      <c r="W67" s="22">
        <f t="shared" si="32"/>
        <v>0</v>
      </c>
      <c r="X67" s="22">
        <f t="shared" si="32"/>
        <v>0</v>
      </c>
      <c r="Y67" s="22">
        <f t="shared" si="32"/>
        <v>0</v>
      </c>
      <c r="Z67" s="22">
        <f t="shared" si="32"/>
        <v>0</v>
      </c>
      <c r="AA67" s="22">
        <f t="shared" si="32"/>
        <v>0</v>
      </c>
      <c r="AB67" s="1"/>
      <c r="AC67" s="5">
        <f t="shared" si="14"/>
        <v>56</v>
      </c>
      <c r="AD67" s="5">
        <f t="shared" si="15"/>
        <v>46</v>
      </c>
      <c r="AE67" s="5">
        <f t="shared" si="16"/>
        <v>30</v>
      </c>
      <c r="AF67" s="5">
        <f t="shared" si="17"/>
        <v>0</v>
      </c>
      <c r="AG67" s="5">
        <f t="shared" si="18"/>
        <v>0</v>
      </c>
      <c r="AH67" s="5">
        <f t="shared" si="19"/>
        <v>0</v>
      </c>
      <c r="AI67" s="5">
        <f t="shared" si="20"/>
        <v>0</v>
      </c>
      <c r="AJ67" s="5">
        <f t="shared" si="21"/>
        <v>0</v>
      </c>
      <c r="AK67" s="5">
        <f t="shared" si="22"/>
        <v>0</v>
      </c>
      <c r="AL67" s="5">
        <f t="shared" si="23"/>
        <v>0</v>
      </c>
      <c r="AM67" s="5">
        <f t="shared" si="24"/>
        <v>0</v>
      </c>
      <c r="AN67" s="5">
        <f t="shared" si="25"/>
        <v>0</v>
      </c>
      <c r="AO67" s="5">
        <f t="shared" si="26"/>
        <v>0</v>
      </c>
      <c r="AP67" s="5">
        <f t="shared" si="27"/>
        <v>0</v>
      </c>
      <c r="AQ67" s="5">
        <f t="shared" si="28"/>
        <v>0</v>
      </c>
      <c r="AR67" s="5">
        <f t="shared" si="29"/>
        <v>0</v>
      </c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CA67" s="58">
        <f t="shared" si="34"/>
        <v>43542</v>
      </c>
    </row>
    <row r="68" spans="2:79" ht="15" hidden="1" outlineLevel="1" x14ac:dyDescent="0.2">
      <c r="B68" s="18">
        <f t="shared" si="5"/>
        <v>43549</v>
      </c>
      <c r="C68" s="17" t="s">
        <v>1</v>
      </c>
      <c r="D68" s="19">
        <f t="shared" si="6"/>
        <v>43555</v>
      </c>
      <c r="E68" s="20">
        <f t="shared" si="7"/>
        <v>3</v>
      </c>
      <c r="F68" s="21">
        <f t="shared" si="8"/>
        <v>2019</v>
      </c>
      <c r="G68" s="11">
        <f t="shared" si="33"/>
        <v>22</v>
      </c>
      <c r="H68" s="10">
        <f t="shared" si="33"/>
        <v>66</v>
      </c>
      <c r="I68" s="11"/>
      <c r="J68" s="11"/>
      <c r="K68" s="11"/>
      <c r="L68" s="11"/>
      <c r="M68" s="11"/>
      <c r="N68" s="11"/>
      <c r="O68" s="14"/>
      <c r="P68" s="14"/>
      <c r="Q68" s="14"/>
      <c r="R68" s="14"/>
      <c r="S68" s="14"/>
      <c r="T68" s="14"/>
      <c r="V68" s="22">
        <f t="shared" ref="V68:AA83" si="35">IF(I68&gt;0,I68,IF(O68=1,$B68+2,IF(O67=1,1,IF(O67=2,0,IF(V67=$G67,0,(IF(V67&gt;=1,V67+1,0)))))))</f>
        <v>4</v>
      </c>
      <c r="W68" s="22">
        <f t="shared" si="35"/>
        <v>0</v>
      </c>
      <c r="X68" s="22">
        <f t="shared" si="35"/>
        <v>0</v>
      </c>
      <c r="Y68" s="22">
        <f t="shared" si="35"/>
        <v>0</v>
      </c>
      <c r="Z68" s="22">
        <f t="shared" si="35"/>
        <v>0</v>
      </c>
      <c r="AA68" s="22">
        <f t="shared" si="35"/>
        <v>0</v>
      </c>
      <c r="AB68" s="1"/>
      <c r="AC68" s="5">
        <f t="shared" si="14"/>
        <v>57</v>
      </c>
      <c r="AD68" s="5">
        <f t="shared" si="15"/>
        <v>47</v>
      </c>
      <c r="AE68" s="5">
        <f t="shared" si="16"/>
        <v>31</v>
      </c>
      <c r="AF68" s="5">
        <f t="shared" si="17"/>
        <v>0</v>
      </c>
      <c r="AG68" s="5">
        <f t="shared" si="18"/>
        <v>0</v>
      </c>
      <c r="AH68" s="5">
        <f t="shared" si="19"/>
        <v>0</v>
      </c>
      <c r="AI68" s="5">
        <f t="shared" si="20"/>
        <v>0</v>
      </c>
      <c r="AJ68" s="5">
        <f t="shared" si="21"/>
        <v>0</v>
      </c>
      <c r="AK68" s="5">
        <f t="shared" si="22"/>
        <v>0</v>
      </c>
      <c r="AL68" s="5">
        <f t="shared" si="23"/>
        <v>0</v>
      </c>
      <c r="AM68" s="5">
        <f t="shared" si="24"/>
        <v>0</v>
      </c>
      <c r="AN68" s="5">
        <f t="shared" si="25"/>
        <v>0</v>
      </c>
      <c r="AO68" s="5">
        <f t="shared" si="26"/>
        <v>0</v>
      </c>
      <c r="AP68" s="5">
        <f t="shared" si="27"/>
        <v>0</v>
      </c>
      <c r="AQ68" s="5">
        <f t="shared" si="28"/>
        <v>0</v>
      </c>
      <c r="AR68" s="5">
        <f t="shared" si="29"/>
        <v>0</v>
      </c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CA68" s="58">
        <f t="shared" si="34"/>
        <v>43549</v>
      </c>
    </row>
    <row r="69" spans="2:79" ht="15" hidden="1" outlineLevel="1" x14ac:dyDescent="0.2">
      <c r="B69" s="18">
        <f t="shared" ref="B69:B132" si="36">D68+1</f>
        <v>43556</v>
      </c>
      <c r="C69" s="17" t="s">
        <v>1</v>
      </c>
      <c r="D69" s="19">
        <f t="shared" ref="D69:D132" si="37">B69+6</f>
        <v>43562</v>
      </c>
      <c r="E69" s="20">
        <f t="shared" ref="E69:E132" si="38">MONTH(B69)</f>
        <v>4</v>
      </c>
      <c r="F69" s="21">
        <f t="shared" ref="F69:F132" si="39">YEAR(D69)</f>
        <v>2019</v>
      </c>
      <c r="G69" s="11">
        <f t="shared" si="33"/>
        <v>22</v>
      </c>
      <c r="H69" s="10">
        <f t="shared" si="33"/>
        <v>66</v>
      </c>
      <c r="I69" s="11"/>
      <c r="J69" s="11"/>
      <c r="K69" s="11"/>
      <c r="L69" s="11"/>
      <c r="M69" s="11"/>
      <c r="N69" s="11"/>
      <c r="O69" s="14"/>
      <c r="P69" s="14"/>
      <c r="Q69" s="14"/>
      <c r="R69" s="14"/>
      <c r="S69" s="14"/>
      <c r="T69" s="14"/>
      <c r="V69" s="22">
        <f t="shared" si="35"/>
        <v>5</v>
      </c>
      <c r="W69" s="22">
        <f t="shared" si="35"/>
        <v>0</v>
      </c>
      <c r="X69" s="22">
        <f t="shared" si="35"/>
        <v>0</v>
      </c>
      <c r="Y69" s="22">
        <f t="shared" si="35"/>
        <v>0</v>
      </c>
      <c r="Z69" s="22">
        <f t="shared" si="35"/>
        <v>0</v>
      </c>
      <c r="AA69" s="22">
        <f t="shared" si="35"/>
        <v>0</v>
      </c>
      <c r="AB69" s="1"/>
      <c r="AC69" s="5">
        <f t="shared" si="14"/>
        <v>58</v>
      </c>
      <c r="AD69" s="5">
        <f t="shared" si="15"/>
        <v>48</v>
      </c>
      <c r="AE69" s="5">
        <f t="shared" si="16"/>
        <v>32</v>
      </c>
      <c r="AF69" s="5">
        <f t="shared" si="17"/>
        <v>0</v>
      </c>
      <c r="AG69" s="5">
        <f t="shared" si="18"/>
        <v>0</v>
      </c>
      <c r="AH69" s="5">
        <f t="shared" si="19"/>
        <v>0</v>
      </c>
      <c r="AI69" s="5">
        <f t="shared" si="20"/>
        <v>0</v>
      </c>
      <c r="AJ69" s="5">
        <f t="shared" si="21"/>
        <v>0</v>
      </c>
      <c r="AK69" s="5">
        <f t="shared" si="22"/>
        <v>0</v>
      </c>
      <c r="AL69" s="5">
        <f t="shared" si="23"/>
        <v>0</v>
      </c>
      <c r="AM69" s="5">
        <f t="shared" si="24"/>
        <v>0</v>
      </c>
      <c r="AN69" s="5">
        <f t="shared" si="25"/>
        <v>0</v>
      </c>
      <c r="AO69" s="5">
        <f t="shared" si="26"/>
        <v>0</v>
      </c>
      <c r="AP69" s="5">
        <f t="shared" si="27"/>
        <v>0</v>
      </c>
      <c r="AQ69" s="5">
        <f t="shared" si="28"/>
        <v>0</v>
      </c>
      <c r="AR69" s="5">
        <f t="shared" si="29"/>
        <v>0</v>
      </c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CA69" s="58">
        <f t="shared" si="34"/>
        <v>43556</v>
      </c>
    </row>
    <row r="70" spans="2:79" ht="15" hidden="1" outlineLevel="1" x14ac:dyDescent="0.2">
      <c r="B70" s="18">
        <f t="shared" si="36"/>
        <v>43563</v>
      </c>
      <c r="C70" s="17" t="s">
        <v>1</v>
      </c>
      <c r="D70" s="19">
        <f t="shared" si="37"/>
        <v>43569</v>
      </c>
      <c r="E70" s="20">
        <f t="shared" si="38"/>
        <v>4</v>
      </c>
      <c r="F70" s="21">
        <f t="shared" si="39"/>
        <v>2019</v>
      </c>
      <c r="G70" s="11">
        <f t="shared" ref="G70:H85" si="40">G69</f>
        <v>22</v>
      </c>
      <c r="H70" s="10">
        <f t="shared" si="40"/>
        <v>66</v>
      </c>
      <c r="I70" s="11"/>
      <c r="J70" s="11"/>
      <c r="K70" s="11"/>
      <c r="L70" s="11"/>
      <c r="M70" s="11"/>
      <c r="N70" s="11"/>
      <c r="O70" s="14"/>
      <c r="P70" s="14"/>
      <c r="Q70" s="14"/>
      <c r="R70" s="14"/>
      <c r="S70" s="14"/>
      <c r="T70" s="14"/>
      <c r="V70" s="22">
        <f t="shared" si="35"/>
        <v>6</v>
      </c>
      <c r="W70" s="22">
        <f t="shared" si="35"/>
        <v>0</v>
      </c>
      <c r="X70" s="22">
        <f t="shared" si="35"/>
        <v>0</v>
      </c>
      <c r="Y70" s="22">
        <f t="shared" si="35"/>
        <v>0</v>
      </c>
      <c r="Z70" s="22">
        <f t="shared" si="35"/>
        <v>0</v>
      </c>
      <c r="AA70" s="22">
        <f t="shared" si="35"/>
        <v>0</v>
      </c>
      <c r="AB70" s="1"/>
      <c r="AC70" s="5">
        <f t="shared" si="14"/>
        <v>59</v>
      </c>
      <c r="AD70" s="5">
        <f t="shared" si="15"/>
        <v>49</v>
      </c>
      <c r="AE70" s="5">
        <f t="shared" si="16"/>
        <v>33</v>
      </c>
      <c r="AF70" s="5">
        <f t="shared" si="17"/>
        <v>0</v>
      </c>
      <c r="AG70" s="5">
        <f t="shared" si="18"/>
        <v>0</v>
      </c>
      <c r="AH70" s="5">
        <f t="shared" si="19"/>
        <v>0</v>
      </c>
      <c r="AI70" s="5">
        <f t="shared" si="20"/>
        <v>0</v>
      </c>
      <c r="AJ70" s="5">
        <f t="shared" si="21"/>
        <v>0</v>
      </c>
      <c r="AK70" s="5">
        <f t="shared" si="22"/>
        <v>0</v>
      </c>
      <c r="AL70" s="5">
        <f t="shared" si="23"/>
        <v>0</v>
      </c>
      <c r="AM70" s="5">
        <f t="shared" si="24"/>
        <v>0</v>
      </c>
      <c r="AN70" s="5">
        <f t="shared" si="25"/>
        <v>0</v>
      </c>
      <c r="AO70" s="5">
        <f t="shared" si="26"/>
        <v>0</v>
      </c>
      <c r="AP70" s="5">
        <f t="shared" si="27"/>
        <v>0</v>
      </c>
      <c r="AQ70" s="5">
        <f t="shared" si="28"/>
        <v>0</v>
      </c>
      <c r="AR70" s="5">
        <f t="shared" si="29"/>
        <v>0</v>
      </c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CA70" s="58">
        <f t="shared" si="34"/>
        <v>43563</v>
      </c>
    </row>
    <row r="71" spans="2:79" ht="15" hidden="1" outlineLevel="1" x14ac:dyDescent="0.2">
      <c r="B71" s="18">
        <f t="shared" si="36"/>
        <v>43570</v>
      </c>
      <c r="C71" s="17" t="s">
        <v>1</v>
      </c>
      <c r="D71" s="19">
        <f t="shared" si="37"/>
        <v>43576</v>
      </c>
      <c r="E71" s="20">
        <f t="shared" si="38"/>
        <v>4</v>
      </c>
      <c r="F71" s="21">
        <f t="shared" si="39"/>
        <v>2019</v>
      </c>
      <c r="G71" s="11">
        <f t="shared" si="40"/>
        <v>22</v>
      </c>
      <c r="H71" s="10">
        <f t="shared" si="40"/>
        <v>66</v>
      </c>
      <c r="I71" s="11"/>
      <c r="J71" s="11"/>
      <c r="K71" s="11"/>
      <c r="L71" s="11"/>
      <c r="M71" s="11"/>
      <c r="N71" s="11"/>
      <c r="O71" s="14"/>
      <c r="P71" s="14"/>
      <c r="Q71" s="14"/>
      <c r="R71" s="14"/>
      <c r="S71" s="14"/>
      <c r="T71" s="14"/>
      <c r="V71" s="22">
        <f t="shared" si="35"/>
        <v>7</v>
      </c>
      <c r="W71" s="22">
        <f t="shared" si="35"/>
        <v>0</v>
      </c>
      <c r="X71" s="22">
        <f t="shared" si="35"/>
        <v>0</v>
      </c>
      <c r="Y71" s="22">
        <f t="shared" si="35"/>
        <v>0</v>
      </c>
      <c r="Z71" s="22">
        <f t="shared" si="35"/>
        <v>0</v>
      </c>
      <c r="AA71" s="22">
        <f t="shared" si="35"/>
        <v>0</v>
      </c>
      <c r="AB71" s="1"/>
      <c r="AC71" s="5">
        <f t="shared" si="14"/>
        <v>60</v>
      </c>
      <c r="AD71" s="5">
        <f t="shared" si="15"/>
        <v>50</v>
      </c>
      <c r="AE71" s="5">
        <f t="shared" si="16"/>
        <v>34</v>
      </c>
      <c r="AF71" s="5">
        <f t="shared" si="17"/>
        <v>0</v>
      </c>
      <c r="AG71" s="5">
        <f t="shared" si="18"/>
        <v>0</v>
      </c>
      <c r="AH71" s="5">
        <f t="shared" si="19"/>
        <v>0</v>
      </c>
      <c r="AI71" s="5">
        <f t="shared" si="20"/>
        <v>0</v>
      </c>
      <c r="AJ71" s="5">
        <f t="shared" si="21"/>
        <v>0</v>
      </c>
      <c r="AK71" s="5">
        <f t="shared" si="22"/>
        <v>0</v>
      </c>
      <c r="AL71" s="5">
        <f t="shared" si="23"/>
        <v>0</v>
      </c>
      <c r="AM71" s="5">
        <f t="shared" si="24"/>
        <v>0</v>
      </c>
      <c r="AN71" s="5">
        <f t="shared" si="25"/>
        <v>0</v>
      </c>
      <c r="AO71" s="5">
        <f t="shared" si="26"/>
        <v>0</v>
      </c>
      <c r="AP71" s="5">
        <f t="shared" si="27"/>
        <v>0</v>
      </c>
      <c r="AQ71" s="5">
        <f t="shared" si="28"/>
        <v>0</v>
      </c>
      <c r="AR71" s="5">
        <f t="shared" si="29"/>
        <v>0</v>
      </c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CA71" s="58">
        <f t="shared" si="34"/>
        <v>43570</v>
      </c>
    </row>
    <row r="72" spans="2:79" ht="15" hidden="1" outlineLevel="1" x14ac:dyDescent="0.2">
      <c r="B72" s="18">
        <f t="shared" si="36"/>
        <v>43577</v>
      </c>
      <c r="C72" s="17" t="s">
        <v>1</v>
      </c>
      <c r="D72" s="19">
        <f t="shared" si="37"/>
        <v>43583</v>
      </c>
      <c r="E72" s="20">
        <f t="shared" si="38"/>
        <v>4</v>
      </c>
      <c r="F72" s="21">
        <f t="shared" si="39"/>
        <v>2019</v>
      </c>
      <c r="G72" s="11">
        <f t="shared" si="40"/>
        <v>22</v>
      </c>
      <c r="H72" s="10">
        <f t="shared" si="40"/>
        <v>66</v>
      </c>
      <c r="I72" s="11"/>
      <c r="J72" s="11"/>
      <c r="K72" s="11"/>
      <c r="L72" s="11"/>
      <c r="M72" s="11"/>
      <c r="N72" s="11"/>
      <c r="O72" s="14"/>
      <c r="P72" s="14"/>
      <c r="Q72" s="14"/>
      <c r="R72" s="14"/>
      <c r="S72" s="14"/>
      <c r="T72" s="14"/>
      <c r="V72" s="22">
        <f t="shared" si="35"/>
        <v>8</v>
      </c>
      <c r="W72" s="22">
        <f t="shared" si="35"/>
        <v>0</v>
      </c>
      <c r="X72" s="22">
        <f t="shared" si="35"/>
        <v>0</v>
      </c>
      <c r="Y72" s="22">
        <f t="shared" si="35"/>
        <v>0</v>
      </c>
      <c r="Z72" s="22">
        <f t="shared" si="35"/>
        <v>0</v>
      </c>
      <c r="AA72" s="22">
        <f t="shared" si="35"/>
        <v>0</v>
      </c>
      <c r="AC72" s="5">
        <f t="shared" si="14"/>
        <v>61</v>
      </c>
      <c r="AD72" s="5">
        <f t="shared" si="15"/>
        <v>51</v>
      </c>
      <c r="AE72" s="5">
        <f t="shared" si="16"/>
        <v>35</v>
      </c>
      <c r="AF72" s="5">
        <f t="shared" si="17"/>
        <v>0</v>
      </c>
      <c r="AG72" s="5">
        <f t="shared" si="18"/>
        <v>0</v>
      </c>
      <c r="AH72" s="5">
        <f t="shared" si="19"/>
        <v>0</v>
      </c>
      <c r="AI72" s="5">
        <f t="shared" si="20"/>
        <v>0</v>
      </c>
      <c r="AJ72" s="5">
        <f t="shared" si="21"/>
        <v>0</v>
      </c>
      <c r="AK72" s="5">
        <f t="shared" si="22"/>
        <v>0</v>
      </c>
      <c r="AL72" s="5">
        <f t="shared" si="23"/>
        <v>0</v>
      </c>
      <c r="AM72" s="5">
        <f t="shared" si="24"/>
        <v>0</v>
      </c>
      <c r="AN72" s="5">
        <f t="shared" si="25"/>
        <v>0</v>
      </c>
      <c r="AO72" s="5">
        <f t="shared" si="26"/>
        <v>0</v>
      </c>
      <c r="AP72" s="5">
        <f t="shared" si="27"/>
        <v>0</v>
      </c>
      <c r="AQ72" s="5">
        <f t="shared" si="28"/>
        <v>0</v>
      </c>
      <c r="AR72" s="5">
        <f t="shared" si="29"/>
        <v>0</v>
      </c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CA72" s="58">
        <f t="shared" si="34"/>
        <v>43577</v>
      </c>
    </row>
    <row r="73" spans="2:79" ht="15" hidden="1" outlineLevel="1" x14ac:dyDescent="0.2">
      <c r="B73" s="18">
        <f t="shared" si="36"/>
        <v>43584</v>
      </c>
      <c r="C73" s="17" t="s">
        <v>1</v>
      </c>
      <c r="D73" s="19">
        <f t="shared" si="37"/>
        <v>43590</v>
      </c>
      <c r="E73" s="20">
        <f t="shared" si="38"/>
        <v>4</v>
      </c>
      <c r="F73" s="21">
        <f t="shared" si="39"/>
        <v>2019</v>
      </c>
      <c r="G73" s="11">
        <f t="shared" si="40"/>
        <v>22</v>
      </c>
      <c r="H73" s="10">
        <f t="shared" si="40"/>
        <v>66</v>
      </c>
      <c r="I73" s="11"/>
      <c r="J73" s="11"/>
      <c r="K73" s="11"/>
      <c r="L73" s="11"/>
      <c r="M73" s="11"/>
      <c r="N73" s="11"/>
      <c r="O73" s="14"/>
      <c r="P73" s="14"/>
      <c r="Q73" s="14"/>
      <c r="R73" s="14"/>
      <c r="S73" s="14"/>
      <c r="T73" s="14"/>
      <c r="V73" s="22">
        <f t="shared" si="35"/>
        <v>9</v>
      </c>
      <c r="W73" s="22">
        <f t="shared" si="35"/>
        <v>0</v>
      </c>
      <c r="X73" s="22">
        <f t="shared" si="35"/>
        <v>0</v>
      </c>
      <c r="Y73" s="22">
        <f t="shared" si="35"/>
        <v>0</v>
      </c>
      <c r="Z73" s="22">
        <f t="shared" si="35"/>
        <v>0</v>
      </c>
      <c r="AA73" s="22">
        <f t="shared" si="35"/>
        <v>0</v>
      </c>
      <c r="AB73" s="1"/>
      <c r="AC73" s="5">
        <f t="shared" si="14"/>
        <v>62</v>
      </c>
      <c r="AD73" s="5">
        <f t="shared" si="15"/>
        <v>52</v>
      </c>
      <c r="AE73" s="5">
        <f t="shared" si="16"/>
        <v>36</v>
      </c>
      <c r="AF73" s="5">
        <f t="shared" si="17"/>
        <v>0</v>
      </c>
      <c r="AG73" s="5">
        <f t="shared" si="18"/>
        <v>0</v>
      </c>
      <c r="AH73" s="5">
        <f t="shared" si="19"/>
        <v>0</v>
      </c>
      <c r="AI73" s="5">
        <f t="shared" si="20"/>
        <v>0</v>
      </c>
      <c r="AJ73" s="5">
        <f t="shared" si="21"/>
        <v>0</v>
      </c>
      <c r="AK73" s="5">
        <f t="shared" si="22"/>
        <v>0</v>
      </c>
      <c r="AL73" s="5">
        <f t="shared" si="23"/>
        <v>0</v>
      </c>
      <c r="AM73" s="5">
        <f t="shared" si="24"/>
        <v>0</v>
      </c>
      <c r="AN73" s="5">
        <f t="shared" si="25"/>
        <v>0</v>
      </c>
      <c r="AO73" s="5">
        <f t="shared" si="26"/>
        <v>0</v>
      </c>
      <c r="AP73" s="5">
        <f t="shared" si="27"/>
        <v>0</v>
      </c>
      <c r="AQ73" s="5">
        <f t="shared" si="28"/>
        <v>0</v>
      </c>
      <c r="AR73" s="5">
        <f t="shared" si="29"/>
        <v>0</v>
      </c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CA73" s="58">
        <f t="shared" si="34"/>
        <v>43584</v>
      </c>
    </row>
    <row r="74" spans="2:79" ht="15" hidden="1" outlineLevel="1" x14ac:dyDescent="0.2">
      <c r="B74" s="18">
        <f t="shared" si="36"/>
        <v>43591</v>
      </c>
      <c r="C74" s="17" t="s">
        <v>1</v>
      </c>
      <c r="D74" s="19">
        <f t="shared" si="37"/>
        <v>43597</v>
      </c>
      <c r="E74" s="20">
        <f t="shared" si="38"/>
        <v>5</v>
      </c>
      <c r="F74" s="21">
        <f t="shared" si="39"/>
        <v>2019</v>
      </c>
      <c r="G74" s="11">
        <f t="shared" si="40"/>
        <v>22</v>
      </c>
      <c r="H74" s="10">
        <f t="shared" si="40"/>
        <v>66</v>
      </c>
      <c r="I74" s="11"/>
      <c r="J74" s="11"/>
      <c r="K74" s="11"/>
      <c r="L74" s="11"/>
      <c r="M74" s="11"/>
      <c r="N74" s="11"/>
      <c r="O74" s="14"/>
      <c r="P74" s="14"/>
      <c r="Q74" s="14"/>
      <c r="R74" s="14"/>
      <c r="S74" s="14"/>
      <c r="T74" s="14"/>
      <c r="V74" s="22">
        <f t="shared" si="35"/>
        <v>10</v>
      </c>
      <c r="W74" s="22">
        <f t="shared" si="35"/>
        <v>0</v>
      </c>
      <c r="X74" s="22">
        <f t="shared" si="35"/>
        <v>0</v>
      </c>
      <c r="Y74" s="22">
        <f t="shared" si="35"/>
        <v>0</v>
      </c>
      <c r="Z74" s="22">
        <f t="shared" si="35"/>
        <v>0</v>
      </c>
      <c r="AA74" s="22">
        <f t="shared" si="35"/>
        <v>0</v>
      </c>
      <c r="AB74" s="1"/>
      <c r="AC74" s="5">
        <f t="shared" si="14"/>
        <v>63</v>
      </c>
      <c r="AD74" s="5">
        <f t="shared" si="15"/>
        <v>53</v>
      </c>
      <c r="AE74" s="5">
        <f t="shared" si="16"/>
        <v>37</v>
      </c>
      <c r="AF74" s="5">
        <f t="shared" si="17"/>
        <v>0</v>
      </c>
      <c r="AG74" s="5">
        <f t="shared" si="18"/>
        <v>0</v>
      </c>
      <c r="AH74" s="5">
        <f t="shared" si="19"/>
        <v>0</v>
      </c>
      <c r="AI74" s="5">
        <f t="shared" si="20"/>
        <v>0</v>
      </c>
      <c r="AJ74" s="5">
        <f t="shared" si="21"/>
        <v>0</v>
      </c>
      <c r="AK74" s="5">
        <f t="shared" si="22"/>
        <v>0</v>
      </c>
      <c r="AL74" s="5">
        <f t="shared" si="23"/>
        <v>0</v>
      </c>
      <c r="AM74" s="5">
        <f t="shared" si="24"/>
        <v>0</v>
      </c>
      <c r="AN74" s="5">
        <f t="shared" si="25"/>
        <v>0</v>
      </c>
      <c r="AO74" s="5">
        <f t="shared" si="26"/>
        <v>0</v>
      </c>
      <c r="AP74" s="5">
        <f t="shared" si="27"/>
        <v>0</v>
      </c>
      <c r="AQ74" s="5">
        <f t="shared" si="28"/>
        <v>0</v>
      </c>
      <c r="AR74" s="5">
        <f t="shared" si="29"/>
        <v>0</v>
      </c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CA74" s="58">
        <f t="shared" si="34"/>
        <v>43591</v>
      </c>
    </row>
    <row r="75" spans="2:79" ht="15" hidden="1" outlineLevel="1" x14ac:dyDescent="0.2">
      <c r="B75" s="18">
        <f t="shared" si="36"/>
        <v>43598</v>
      </c>
      <c r="C75" s="17" t="s">
        <v>1</v>
      </c>
      <c r="D75" s="19">
        <f t="shared" si="37"/>
        <v>43604</v>
      </c>
      <c r="E75" s="20">
        <f t="shared" si="38"/>
        <v>5</v>
      </c>
      <c r="F75" s="21">
        <f t="shared" si="39"/>
        <v>2019</v>
      </c>
      <c r="G75" s="11">
        <f t="shared" si="40"/>
        <v>22</v>
      </c>
      <c r="H75" s="10">
        <f t="shared" si="40"/>
        <v>66</v>
      </c>
      <c r="I75" s="11"/>
      <c r="J75" s="11"/>
      <c r="K75" s="11"/>
      <c r="L75" s="11"/>
      <c r="M75" s="11"/>
      <c r="N75" s="11"/>
      <c r="O75" s="14"/>
      <c r="P75" s="14"/>
      <c r="Q75" s="14"/>
      <c r="R75" s="14"/>
      <c r="S75" s="14"/>
      <c r="T75" s="14"/>
      <c r="V75" s="22">
        <f t="shared" si="35"/>
        <v>11</v>
      </c>
      <c r="W75" s="22">
        <f t="shared" si="35"/>
        <v>0</v>
      </c>
      <c r="X75" s="22">
        <f t="shared" si="35"/>
        <v>0</v>
      </c>
      <c r="Y75" s="22">
        <f t="shared" si="35"/>
        <v>0</v>
      </c>
      <c r="Z75" s="22">
        <f t="shared" si="35"/>
        <v>0</v>
      </c>
      <c r="AA75" s="22">
        <f t="shared" si="35"/>
        <v>0</v>
      </c>
      <c r="AB75" s="1"/>
      <c r="AC75" s="5">
        <f t="shared" si="14"/>
        <v>64</v>
      </c>
      <c r="AD75" s="5">
        <f t="shared" si="15"/>
        <v>54</v>
      </c>
      <c r="AE75" s="5">
        <f t="shared" si="16"/>
        <v>38</v>
      </c>
      <c r="AF75" s="5">
        <f t="shared" si="17"/>
        <v>0</v>
      </c>
      <c r="AG75" s="5">
        <f t="shared" si="18"/>
        <v>0</v>
      </c>
      <c r="AH75" s="5">
        <f t="shared" si="19"/>
        <v>0</v>
      </c>
      <c r="AI75" s="5">
        <f t="shared" si="20"/>
        <v>0</v>
      </c>
      <c r="AJ75" s="5">
        <f t="shared" si="21"/>
        <v>0</v>
      </c>
      <c r="AK75" s="5">
        <f t="shared" si="22"/>
        <v>0</v>
      </c>
      <c r="AL75" s="5">
        <f t="shared" si="23"/>
        <v>0</v>
      </c>
      <c r="AM75" s="5">
        <f t="shared" si="24"/>
        <v>0</v>
      </c>
      <c r="AN75" s="5">
        <f t="shared" si="25"/>
        <v>0</v>
      </c>
      <c r="AO75" s="5">
        <f t="shared" si="26"/>
        <v>0</v>
      </c>
      <c r="AP75" s="5">
        <f t="shared" si="27"/>
        <v>0</v>
      </c>
      <c r="AQ75" s="5">
        <f t="shared" si="28"/>
        <v>0</v>
      </c>
      <c r="AR75" s="5">
        <f t="shared" si="29"/>
        <v>0</v>
      </c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CA75" s="58">
        <f t="shared" si="34"/>
        <v>43598</v>
      </c>
    </row>
    <row r="76" spans="2:79" ht="15" hidden="1" outlineLevel="1" x14ac:dyDescent="0.2">
      <c r="B76" s="18">
        <f t="shared" si="36"/>
        <v>43605</v>
      </c>
      <c r="C76" s="17" t="s">
        <v>1</v>
      </c>
      <c r="D76" s="19">
        <f t="shared" si="37"/>
        <v>43611</v>
      </c>
      <c r="E76" s="20">
        <f t="shared" si="38"/>
        <v>5</v>
      </c>
      <c r="F76" s="21">
        <f t="shared" si="39"/>
        <v>2019</v>
      </c>
      <c r="G76" s="11">
        <f t="shared" si="40"/>
        <v>22</v>
      </c>
      <c r="H76" s="10">
        <f t="shared" si="40"/>
        <v>66</v>
      </c>
      <c r="I76" s="11"/>
      <c r="J76" s="11"/>
      <c r="K76" s="11"/>
      <c r="L76" s="11"/>
      <c r="M76" s="11"/>
      <c r="N76" s="11"/>
      <c r="O76" s="14"/>
      <c r="P76" s="14"/>
      <c r="Q76" s="14"/>
      <c r="R76" s="14"/>
      <c r="S76" s="14"/>
      <c r="T76" s="14"/>
      <c r="V76" s="22">
        <f t="shared" si="35"/>
        <v>12</v>
      </c>
      <c r="W76" s="22">
        <f t="shared" si="35"/>
        <v>0</v>
      </c>
      <c r="X76" s="22">
        <f t="shared" si="35"/>
        <v>0</v>
      </c>
      <c r="Y76" s="22">
        <f t="shared" si="35"/>
        <v>0</v>
      </c>
      <c r="Z76" s="22">
        <f t="shared" si="35"/>
        <v>0</v>
      </c>
      <c r="AA76" s="22">
        <f t="shared" si="35"/>
        <v>0</v>
      </c>
      <c r="AB76" s="1"/>
      <c r="AC76" s="5">
        <f t="shared" si="14"/>
        <v>65</v>
      </c>
      <c r="AD76" s="5">
        <f t="shared" si="15"/>
        <v>55</v>
      </c>
      <c r="AE76" s="5">
        <f t="shared" si="16"/>
        <v>39</v>
      </c>
      <c r="AF76" s="5">
        <f t="shared" si="17"/>
        <v>0</v>
      </c>
      <c r="AG76" s="5">
        <f t="shared" si="18"/>
        <v>0</v>
      </c>
      <c r="AH76" s="5">
        <f t="shared" si="19"/>
        <v>0</v>
      </c>
      <c r="AI76" s="5">
        <f t="shared" si="20"/>
        <v>0</v>
      </c>
      <c r="AJ76" s="5">
        <f t="shared" si="21"/>
        <v>0</v>
      </c>
      <c r="AK76" s="5">
        <f t="shared" si="22"/>
        <v>0</v>
      </c>
      <c r="AL76" s="5">
        <f t="shared" si="23"/>
        <v>0</v>
      </c>
      <c r="AM76" s="5">
        <f t="shared" si="24"/>
        <v>0</v>
      </c>
      <c r="AN76" s="5">
        <f t="shared" si="25"/>
        <v>0</v>
      </c>
      <c r="AO76" s="5">
        <f t="shared" si="26"/>
        <v>0</v>
      </c>
      <c r="AP76" s="5">
        <f t="shared" si="27"/>
        <v>0</v>
      </c>
      <c r="AQ76" s="5">
        <f t="shared" si="28"/>
        <v>0</v>
      </c>
      <c r="AR76" s="5">
        <f t="shared" si="29"/>
        <v>0</v>
      </c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CA76" s="58">
        <f t="shared" si="34"/>
        <v>43605</v>
      </c>
    </row>
    <row r="77" spans="2:79" ht="15" hidden="1" outlineLevel="1" x14ac:dyDescent="0.2">
      <c r="B77" s="18">
        <f t="shared" si="36"/>
        <v>43612</v>
      </c>
      <c r="C77" s="17" t="s">
        <v>1</v>
      </c>
      <c r="D77" s="19">
        <f t="shared" si="37"/>
        <v>43618</v>
      </c>
      <c r="E77" s="20">
        <f t="shared" si="38"/>
        <v>5</v>
      </c>
      <c r="F77" s="21">
        <f t="shared" si="39"/>
        <v>2019</v>
      </c>
      <c r="G77" s="11">
        <f t="shared" si="40"/>
        <v>22</v>
      </c>
      <c r="H77" s="10">
        <f t="shared" si="40"/>
        <v>66</v>
      </c>
      <c r="I77" s="11"/>
      <c r="J77" s="11"/>
      <c r="K77" s="11"/>
      <c r="L77" s="11"/>
      <c r="M77" s="11"/>
      <c r="N77" s="11"/>
      <c r="O77" s="14"/>
      <c r="P77" s="14"/>
      <c r="Q77" s="14"/>
      <c r="R77" s="14"/>
      <c r="S77" s="14"/>
      <c r="T77" s="14"/>
      <c r="V77" s="22">
        <f t="shared" si="35"/>
        <v>13</v>
      </c>
      <c r="W77" s="22">
        <f t="shared" si="35"/>
        <v>0</v>
      </c>
      <c r="X77" s="22">
        <f t="shared" si="35"/>
        <v>0</v>
      </c>
      <c r="Y77" s="22">
        <f t="shared" si="35"/>
        <v>0</v>
      </c>
      <c r="Z77" s="22">
        <f t="shared" si="35"/>
        <v>0</v>
      </c>
      <c r="AA77" s="22">
        <f t="shared" si="35"/>
        <v>0</v>
      </c>
      <c r="AB77" s="1"/>
      <c r="AC77" s="5">
        <f t="shared" si="14"/>
        <v>66</v>
      </c>
      <c r="AD77" s="5">
        <f t="shared" si="15"/>
        <v>56</v>
      </c>
      <c r="AE77" s="5">
        <f t="shared" si="16"/>
        <v>40</v>
      </c>
      <c r="AF77" s="5">
        <f t="shared" si="17"/>
        <v>0</v>
      </c>
      <c r="AG77" s="5">
        <f t="shared" si="18"/>
        <v>0</v>
      </c>
      <c r="AH77" s="5">
        <f t="shared" si="19"/>
        <v>0</v>
      </c>
      <c r="AI77" s="5">
        <f t="shared" si="20"/>
        <v>0</v>
      </c>
      <c r="AJ77" s="5">
        <f t="shared" si="21"/>
        <v>0</v>
      </c>
      <c r="AK77" s="5">
        <f t="shared" si="22"/>
        <v>0</v>
      </c>
      <c r="AL77" s="5">
        <f t="shared" si="23"/>
        <v>0</v>
      </c>
      <c r="AM77" s="5">
        <f t="shared" si="24"/>
        <v>0</v>
      </c>
      <c r="AN77" s="5">
        <f t="shared" si="25"/>
        <v>0</v>
      </c>
      <c r="AO77" s="5">
        <f t="shared" si="26"/>
        <v>0</v>
      </c>
      <c r="AP77" s="5">
        <f t="shared" si="27"/>
        <v>0</v>
      </c>
      <c r="AQ77" s="5">
        <f t="shared" si="28"/>
        <v>0</v>
      </c>
      <c r="AR77" s="5">
        <f t="shared" si="29"/>
        <v>0</v>
      </c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CA77" s="58">
        <f t="shared" si="34"/>
        <v>43612</v>
      </c>
    </row>
    <row r="78" spans="2:79" ht="15" hidden="1" outlineLevel="1" x14ac:dyDescent="0.2">
      <c r="B78" s="18">
        <f t="shared" si="36"/>
        <v>43619</v>
      </c>
      <c r="C78" s="17" t="s">
        <v>1</v>
      </c>
      <c r="D78" s="19">
        <f t="shared" si="37"/>
        <v>43625</v>
      </c>
      <c r="E78" s="20">
        <f t="shared" si="38"/>
        <v>6</v>
      </c>
      <c r="F78" s="21">
        <f t="shared" si="39"/>
        <v>2019</v>
      </c>
      <c r="G78" s="11">
        <f t="shared" si="40"/>
        <v>22</v>
      </c>
      <c r="H78" s="10">
        <f t="shared" si="40"/>
        <v>66</v>
      </c>
      <c r="I78" s="11"/>
      <c r="J78" s="11"/>
      <c r="K78" s="11"/>
      <c r="L78" s="11"/>
      <c r="M78" s="11"/>
      <c r="N78" s="11"/>
      <c r="O78" s="14"/>
      <c r="P78" s="14"/>
      <c r="Q78" s="14"/>
      <c r="R78" s="14"/>
      <c r="S78" s="14"/>
      <c r="T78" s="14"/>
      <c r="V78" s="22">
        <f t="shared" si="35"/>
        <v>14</v>
      </c>
      <c r="W78" s="22">
        <f t="shared" si="35"/>
        <v>0</v>
      </c>
      <c r="X78" s="22">
        <f t="shared" si="35"/>
        <v>0</v>
      </c>
      <c r="Y78" s="22">
        <f t="shared" si="35"/>
        <v>0</v>
      </c>
      <c r="Z78" s="22">
        <f t="shared" si="35"/>
        <v>0</v>
      </c>
      <c r="AA78" s="22">
        <f t="shared" si="35"/>
        <v>0</v>
      </c>
      <c r="AB78" s="1"/>
      <c r="AC78" s="5">
        <f t="shared" si="14"/>
        <v>0</v>
      </c>
      <c r="AD78" s="5">
        <f t="shared" si="15"/>
        <v>57</v>
      </c>
      <c r="AE78" s="5">
        <f t="shared" si="16"/>
        <v>41</v>
      </c>
      <c r="AF78" s="5">
        <f t="shared" si="17"/>
        <v>0</v>
      </c>
      <c r="AG78" s="5">
        <f t="shared" si="18"/>
        <v>0</v>
      </c>
      <c r="AH78" s="5">
        <f t="shared" si="19"/>
        <v>0</v>
      </c>
      <c r="AI78" s="5">
        <f t="shared" si="20"/>
        <v>0</v>
      </c>
      <c r="AJ78" s="5">
        <f t="shared" si="21"/>
        <v>0</v>
      </c>
      <c r="AK78" s="5">
        <f t="shared" si="22"/>
        <v>0</v>
      </c>
      <c r="AL78" s="5">
        <f t="shared" si="23"/>
        <v>0</v>
      </c>
      <c r="AM78" s="5">
        <f t="shared" si="24"/>
        <v>0</v>
      </c>
      <c r="AN78" s="5">
        <f t="shared" si="25"/>
        <v>0</v>
      </c>
      <c r="AO78" s="5">
        <f t="shared" si="26"/>
        <v>0</v>
      </c>
      <c r="AP78" s="5">
        <f t="shared" si="27"/>
        <v>0</v>
      </c>
      <c r="AQ78" s="5">
        <f t="shared" si="28"/>
        <v>0</v>
      </c>
      <c r="AR78" s="5">
        <f t="shared" si="29"/>
        <v>0</v>
      </c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CA78" s="58">
        <f t="shared" si="34"/>
        <v>43619</v>
      </c>
    </row>
    <row r="79" spans="2:79" ht="15" hidden="1" outlineLevel="1" x14ac:dyDescent="0.2">
      <c r="B79" s="18">
        <f t="shared" si="36"/>
        <v>43626</v>
      </c>
      <c r="C79" s="17" t="s">
        <v>1</v>
      </c>
      <c r="D79" s="19">
        <f t="shared" si="37"/>
        <v>43632</v>
      </c>
      <c r="E79" s="20">
        <f t="shared" si="38"/>
        <v>6</v>
      </c>
      <c r="F79" s="21">
        <f t="shared" si="39"/>
        <v>2019</v>
      </c>
      <c r="G79" s="11">
        <f t="shared" si="40"/>
        <v>22</v>
      </c>
      <c r="H79" s="10">
        <f t="shared" si="40"/>
        <v>66</v>
      </c>
      <c r="I79" s="11"/>
      <c r="J79" s="11"/>
      <c r="K79" s="11"/>
      <c r="L79" s="11"/>
      <c r="M79" s="11"/>
      <c r="N79" s="11"/>
      <c r="O79" s="14"/>
      <c r="P79" s="14"/>
      <c r="Q79" s="14"/>
      <c r="R79" s="14"/>
      <c r="S79" s="14"/>
      <c r="T79" s="14"/>
      <c r="V79" s="22">
        <f t="shared" si="35"/>
        <v>15</v>
      </c>
      <c r="W79" s="22">
        <f t="shared" si="35"/>
        <v>0</v>
      </c>
      <c r="X79" s="22">
        <f t="shared" si="35"/>
        <v>0</v>
      </c>
      <c r="Y79" s="22">
        <f t="shared" si="35"/>
        <v>0</v>
      </c>
      <c r="Z79" s="22">
        <f t="shared" si="35"/>
        <v>0</v>
      </c>
      <c r="AA79" s="22">
        <f t="shared" si="35"/>
        <v>0</v>
      </c>
      <c r="AB79" s="1"/>
      <c r="AC79" s="5">
        <f t="shared" si="14"/>
        <v>0</v>
      </c>
      <c r="AD79" s="5">
        <f t="shared" si="15"/>
        <v>58</v>
      </c>
      <c r="AE79" s="5">
        <f t="shared" si="16"/>
        <v>42</v>
      </c>
      <c r="AF79" s="5">
        <f t="shared" si="17"/>
        <v>0</v>
      </c>
      <c r="AG79" s="5">
        <f t="shared" si="18"/>
        <v>0</v>
      </c>
      <c r="AH79" s="5">
        <f t="shared" si="19"/>
        <v>0</v>
      </c>
      <c r="AI79" s="5">
        <f t="shared" si="20"/>
        <v>0</v>
      </c>
      <c r="AJ79" s="5">
        <f t="shared" si="21"/>
        <v>0</v>
      </c>
      <c r="AK79" s="5">
        <f t="shared" si="22"/>
        <v>0</v>
      </c>
      <c r="AL79" s="5">
        <f t="shared" si="23"/>
        <v>0</v>
      </c>
      <c r="AM79" s="5">
        <f t="shared" si="24"/>
        <v>0</v>
      </c>
      <c r="AN79" s="5">
        <f t="shared" si="25"/>
        <v>0</v>
      </c>
      <c r="AO79" s="5">
        <f t="shared" si="26"/>
        <v>0</v>
      </c>
      <c r="AP79" s="5">
        <f t="shared" si="27"/>
        <v>0</v>
      </c>
      <c r="AQ79" s="5">
        <f t="shared" si="28"/>
        <v>0</v>
      </c>
      <c r="AR79" s="5">
        <f t="shared" si="29"/>
        <v>0</v>
      </c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CA79" s="58">
        <f t="shared" si="34"/>
        <v>43626</v>
      </c>
    </row>
    <row r="80" spans="2:79" ht="15" hidden="1" outlineLevel="1" x14ac:dyDescent="0.2">
      <c r="B80" s="18">
        <f t="shared" si="36"/>
        <v>43633</v>
      </c>
      <c r="C80" s="17" t="s">
        <v>1</v>
      </c>
      <c r="D80" s="19">
        <f t="shared" si="37"/>
        <v>43639</v>
      </c>
      <c r="E80" s="20">
        <f t="shared" si="38"/>
        <v>6</v>
      </c>
      <c r="F80" s="21">
        <f t="shared" si="39"/>
        <v>2019</v>
      </c>
      <c r="G80" s="11">
        <f t="shared" si="40"/>
        <v>22</v>
      </c>
      <c r="H80" s="10">
        <f t="shared" si="40"/>
        <v>66</v>
      </c>
      <c r="I80" s="11"/>
      <c r="J80" s="11"/>
      <c r="K80" s="11"/>
      <c r="L80" s="11"/>
      <c r="M80" s="11"/>
      <c r="N80" s="11"/>
      <c r="O80" s="14"/>
      <c r="P80" s="14"/>
      <c r="Q80" s="14"/>
      <c r="R80" s="14"/>
      <c r="S80" s="14"/>
      <c r="T80" s="14"/>
      <c r="V80" s="22">
        <f t="shared" si="35"/>
        <v>16</v>
      </c>
      <c r="W80" s="22">
        <f t="shared" si="35"/>
        <v>0</v>
      </c>
      <c r="X80" s="22">
        <f t="shared" si="35"/>
        <v>0</v>
      </c>
      <c r="Y80" s="22">
        <f t="shared" si="35"/>
        <v>0</v>
      </c>
      <c r="Z80" s="22">
        <f t="shared" si="35"/>
        <v>0</v>
      </c>
      <c r="AA80" s="22">
        <f t="shared" si="35"/>
        <v>0</v>
      </c>
      <c r="AB80" s="1"/>
      <c r="AC80" s="5">
        <f t="shared" si="14"/>
        <v>0</v>
      </c>
      <c r="AD80" s="5">
        <f t="shared" si="15"/>
        <v>59</v>
      </c>
      <c r="AE80" s="5">
        <f t="shared" si="16"/>
        <v>43</v>
      </c>
      <c r="AF80" s="5">
        <f t="shared" si="17"/>
        <v>0</v>
      </c>
      <c r="AG80" s="5">
        <f t="shared" si="18"/>
        <v>0</v>
      </c>
      <c r="AH80" s="5">
        <f t="shared" si="19"/>
        <v>0</v>
      </c>
      <c r="AI80" s="5">
        <f t="shared" si="20"/>
        <v>0</v>
      </c>
      <c r="AJ80" s="5">
        <f t="shared" si="21"/>
        <v>0</v>
      </c>
      <c r="AK80" s="5">
        <f t="shared" si="22"/>
        <v>0</v>
      </c>
      <c r="AL80" s="5">
        <f t="shared" si="23"/>
        <v>0</v>
      </c>
      <c r="AM80" s="5">
        <f t="shared" si="24"/>
        <v>0</v>
      </c>
      <c r="AN80" s="5">
        <f t="shared" si="25"/>
        <v>0</v>
      </c>
      <c r="AO80" s="5">
        <f t="shared" si="26"/>
        <v>0</v>
      </c>
      <c r="AP80" s="5">
        <f t="shared" si="27"/>
        <v>0</v>
      </c>
      <c r="AQ80" s="5">
        <f t="shared" si="28"/>
        <v>0</v>
      </c>
      <c r="AR80" s="5">
        <f t="shared" si="29"/>
        <v>0</v>
      </c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CA80" s="58">
        <f t="shared" si="34"/>
        <v>43633</v>
      </c>
    </row>
    <row r="81" spans="2:79" ht="15" hidden="1" outlineLevel="1" x14ac:dyDescent="0.2">
      <c r="B81" s="18">
        <f t="shared" si="36"/>
        <v>43640</v>
      </c>
      <c r="C81" s="17" t="s">
        <v>1</v>
      </c>
      <c r="D81" s="19">
        <f t="shared" si="37"/>
        <v>43646</v>
      </c>
      <c r="E81" s="20">
        <f t="shared" si="38"/>
        <v>6</v>
      </c>
      <c r="F81" s="21">
        <f t="shared" si="39"/>
        <v>2019</v>
      </c>
      <c r="G81" s="11">
        <f t="shared" si="40"/>
        <v>22</v>
      </c>
      <c r="H81" s="10">
        <f t="shared" si="40"/>
        <v>66</v>
      </c>
      <c r="I81" s="11"/>
      <c r="J81" s="11"/>
      <c r="K81" s="11"/>
      <c r="L81" s="11"/>
      <c r="M81" s="11"/>
      <c r="N81" s="11"/>
      <c r="O81" s="14"/>
      <c r="P81" s="14"/>
      <c r="Q81" s="14"/>
      <c r="R81" s="14"/>
      <c r="S81" s="14"/>
      <c r="T81" s="14"/>
      <c r="V81" s="22">
        <f t="shared" si="35"/>
        <v>17</v>
      </c>
      <c r="W81" s="22">
        <f t="shared" si="35"/>
        <v>0</v>
      </c>
      <c r="X81" s="22">
        <f t="shared" si="35"/>
        <v>0</v>
      </c>
      <c r="Y81" s="22">
        <f t="shared" si="35"/>
        <v>0</v>
      </c>
      <c r="Z81" s="22">
        <f t="shared" si="35"/>
        <v>0</v>
      </c>
      <c r="AA81" s="22">
        <f t="shared" si="35"/>
        <v>0</v>
      </c>
      <c r="AB81" s="1"/>
      <c r="AC81" s="5">
        <f t="shared" si="14"/>
        <v>0</v>
      </c>
      <c r="AD81" s="5">
        <f t="shared" si="15"/>
        <v>60</v>
      </c>
      <c r="AE81" s="5">
        <f t="shared" si="16"/>
        <v>44</v>
      </c>
      <c r="AF81" s="5">
        <f t="shared" si="17"/>
        <v>0</v>
      </c>
      <c r="AG81" s="5">
        <f t="shared" si="18"/>
        <v>0</v>
      </c>
      <c r="AH81" s="5">
        <f t="shared" si="19"/>
        <v>0</v>
      </c>
      <c r="AI81" s="5">
        <f t="shared" si="20"/>
        <v>0</v>
      </c>
      <c r="AJ81" s="5">
        <f t="shared" si="21"/>
        <v>0</v>
      </c>
      <c r="AK81" s="5">
        <f t="shared" si="22"/>
        <v>0</v>
      </c>
      <c r="AL81" s="5">
        <f t="shared" si="23"/>
        <v>0</v>
      </c>
      <c r="AM81" s="5">
        <f t="shared" si="24"/>
        <v>0</v>
      </c>
      <c r="AN81" s="5">
        <f t="shared" si="25"/>
        <v>0</v>
      </c>
      <c r="AO81" s="5">
        <f t="shared" si="26"/>
        <v>0</v>
      </c>
      <c r="AP81" s="5">
        <f t="shared" si="27"/>
        <v>0</v>
      </c>
      <c r="AQ81" s="5">
        <f t="shared" si="28"/>
        <v>0</v>
      </c>
      <c r="AR81" s="5">
        <f t="shared" si="29"/>
        <v>0</v>
      </c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CA81" s="58">
        <f t="shared" si="34"/>
        <v>43640</v>
      </c>
    </row>
    <row r="82" spans="2:79" ht="15" hidden="1" outlineLevel="1" x14ac:dyDescent="0.2">
      <c r="B82" s="18">
        <f t="shared" si="36"/>
        <v>43647</v>
      </c>
      <c r="C82" s="17" t="s">
        <v>1</v>
      </c>
      <c r="D82" s="19">
        <f t="shared" si="37"/>
        <v>43653</v>
      </c>
      <c r="E82" s="20">
        <f t="shared" si="38"/>
        <v>7</v>
      </c>
      <c r="F82" s="21">
        <f t="shared" si="39"/>
        <v>2019</v>
      </c>
      <c r="G82" s="11">
        <f t="shared" si="40"/>
        <v>22</v>
      </c>
      <c r="H82" s="10">
        <f t="shared" si="40"/>
        <v>66</v>
      </c>
      <c r="I82" s="11"/>
      <c r="J82" s="11"/>
      <c r="K82" s="11"/>
      <c r="L82" s="11"/>
      <c r="M82" s="11"/>
      <c r="N82" s="11"/>
      <c r="O82" s="14"/>
      <c r="P82" s="14"/>
      <c r="Q82" s="14"/>
      <c r="R82" s="14"/>
      <c r="S82" s="14"/>
      <c r="T82" s="14"/>
      <c r="V82" s="22">
        <f t="shared" si="35"/>
        <v>18</v>
      </c>
      <c r="W82" s="22">
        <f t="shared" si="35"/>
        <v>0</v>
      </c>
      <c r="X82" s="22">
        <f t="shared" si="35"/>
        <v>0</v>
      </c>
      <c r="Y82" s="22">
        <f t="shared" si="35"/>
        <v>0</v>
      </c>
      <c r="Z82" s="22">
        <f t="shared" si="35"/>
        <v>0</v>
      </c>
      <c r="AA82" s="22">
        <f t="shared" si="35"/>
        <v>0</v>
      </c>
      <c r="AB82" s="1"/>
      <c r="AC82" s="5">
        <f t="shared" si="14"/>
        <v>0</v>
      </c>
      <c r="AD82" s="5">
        <f t="shared" si="15"/>
        <v>61</v>
      </c>
      <c r="AE82" s="5">
        <f t="shared" si="16"/>
        <v>45</v>
      </c>
      <c r="AF82" s="5">
        <f t="shared" si="17"/>
        <v>0</v>
      </c>
      <c r="AG82" s="5">
        <f t="shared" si="18"/>
        <v>0</v>
      </c>
      <c r="AH82" s="5">
        <f t="shared" si="19"/>
        <v>0</v>
      </c>
      <c r="AI82" s="5">
        <f t="shared" si="20"/>
        <v>0</v>
      </c>
      <c r="AJ82" s="5">
        <f t="shared" si="21"/>
        <v>0</v>
      </c>
      <c r="AK82" s="5">
        <f t="shared" si="22"/>
        <v>0</v>
      </c>
      <c r="AL82" s="5">
        <f t="shared" si="23"/>
        <v>0</v>
      </c>
      <c r="AM82" s="5">
        <f t="shared" si="24"/>
        <v>0</v>
      </c>
      <c r="AN82" s="5">
        <f t="shared" si="25"/>
        <v>0</v>
      </c>
      <c r="AO82" s="5">
        <f t="shared" si="26"/>
        <v>0</v>
      </c>
      <c r="AP82" s="5">
        <f t="shared" si="27"/>
        <v>0</v>
      </c>
      <c r="AQ82" s="5">
        <f t="shared" si="28"/>
        <v>0</v>
      </c>
      <c r="AR82" s="5">
        <f t="shared" si="29"/>
        <v>0</v>
      </c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CA82" s="58">
        <f t="shared" si="34"/>
        <v>43647</v>
      </c>
    </row>
    <row r="83" spans="2:79" ht="15" hidden="1" outlineLevel="1" x14ac:dyDescent="0.2">
      <c r="B83" s="18">
        <f t="shared" si="36"/>
        <v>43654</v>
      </c>
      <c r="C83" s="17" t="s">
        <v>1</v>
      </c>
      <c r="D83" s="19">
        <f t="shared" si="37"/>
        <v>43660</v>
      </c>
      <c r="E83" s="20">
        <f t="shared" si="38"/>
        <v>7</v>
      </c>
      <c r="F83" s="21">
        <f t="shared" si="39"/>
        <v>2019</v>
      </c>
      <c r="G83" s="11">
        <f t="shared" si="40"/>
        <v>22</v>
      </c>
      <c r="H83" s="10">
        <f t="shared" si="40"/>
        <v>66</v>
      </c>
      <c r="I83" s="11"/>
      <c r="J83" s="11"/>
      <c r="K83" s="11"/>
      <c r="L83" s="11"/>
      <c r="M83" s="11"/>
      <c r="N83" s="11"/>
      <c r="O83" s="14"/>
      <c r="P83" s="14"/>
      <c r="Q83" s="14"/>
      <c r="R83" s="14"/>
      <c r="S83" s="14"/>
      <c r="T83" s="14"/>
      <c r="V83" s="22">
        <f t="shared" si="35"/>
        <v>19</v>
      </c>
      <c r="W83" s="22">
        <f t="shared" si="35"/>
        <v>0</v>
      </c>
      <c r="X83" s="22">
        <f t="shared" si="35"/>
        <v>0</v>
      </c>
      <c r="Y83" s="22">
        <f t="shared" si="35"/>
        <v>0</v>
      </c>
      <c r="Z83" s="22">
        <f t="shared" si="35"/>
        <v>0</v>
      </c>
      <c r="AA83" s="22">
        <f t="shared" si="35"/>
        <v>0</v>
      </c>
      <c r="AB83" s="1"/>
      <c r="AC83" s="5">
        <f t="shared" si="14"/>
        <v>0</v>
      </c>
      <c r="AD83" s="5">
        <f t="shared" si="15"/>
        <v>62</v>
      </c>
      <c r="AE83" s="5">
        <f t="shared" si="16"/>
        <v>46</v>
      </c>
      <c r="AF83" s="5">
        <f t="shared" si="17"/>
        <v>0</v>
      </c>
      <c r="AG83" s="5">
        <f t="shared" si="18"/>
        <v>0</v>
      </c>
      <c r="AH83" s="5">
        <f t="shared" si="19"/>
        <v>0</v>
      </c>
      <c r="AI83" s="5">
        <f t="shared" si="20"/>
        <v>0</v>
      </c>
      <c r="AJ83" s="5">
        <f t="shared" si="21"/>
        <v>0</v>
      </c>
      <c r="AK83" s="5">
        <f t="shared" si="22"/>
        <v>0</v>
      </c>
      <c r="AL83" s="5">
        <f t="shared" si="23"/>
        <v>0</v>
      </c>
      <c r="AM83" s="5">
        <f t="shared" si="24"/>
        <v>0</v>
      </c>
      <c r="AN83" s="5">
        <f t="shared" si="25"/>
        <v>0</v>
      </c>
      <c r="AO83" s="5">
        <f t="shared" si="26"/>
        <v>0</v>
      </c>
      <c r="AP83" s="5">
        <f t="shared" si="27"/>
        <v>0</v>
      </c>
      <c r="AQ83" s="5">
        <f t="shared" si="28"/>
        <v>0</v>
      </c>
      <c r="AR83" s="5">
        <f t="shared" si="29"/>
        <v>0</v>
      </c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CA83" s="58">
        <f t="shared" si="34"/>
        <v>43654</v>
      </c>
    </row>
    <row r="84" spans="2:79" ht="15" hidden="1" outlineLevel="1" x14ac:dyDescent="0.2">
      <c r="B84" s="18">
        <f t="shared" si="36"/>
        <v>43661</v>
      </c>
      <c r="C84" s="17" t="s">
        <v>1</v>
      </c>
      <c r="D84" s="19">
        <f t="shared" si="37"/>
        <v>43667</v>
      </c>
      <c r="E84" s="20">
        <f t="shared" si="38"/>
        <v>7</v>
      </c>
      <c r="F84" s="21">
        <f t="shared" si="39"/>
        <v>2019</v>
      </c>
      <c r="G84" s="11">
        <f t="shared" si="40"/>
        <v>22</v>
      </c>
      <c r="H84" s="10">
        <f t="shared" si="40"/>
        <v>66</v>
      </c>
      <c r="I84" s="11"/>
      <c r="J84" s="11"/>
      <c r="K84" s="11"/>
      <c r="L84" s="11"/>
      <c r="M84" s="11"/>
      <c r="N84" s="11"/>
      <c r="O84" s="14"/>
      <c r="P84" s="14"/>
      <c r="Q84" s="14"/>
      <c r="R84" s="14"/>
      <c r="S84" s="14"/>
      <c r="T84" s="14"/>
      <c r="V84" s="22">
        <f t="shared" ref="V84:AA99" si="41">IF(I84&gt;0,I84,IF(O84=1,$B84+2,IF(O83=1,1,IF(O83=2,0,IF(V83=$G83,0,(IF(V83&gt;=1,V83+1,0)))))))</f>
        <v>20</v>
      </c>
      <c r="W84" s="22">
        <f t="shared" si="41"/>
        <v>0</v>
      </c>
      <c r="X84" s="22">
        <f t="shared" si="41"/>
        <v>0</v>
      </c>
      <c r="Y84" s="22">
        <f t="shared" si="41"/>
        <v>0</v>
      </c>
      <c r="Z84" s="22">
        <f t="shared" si="41"/>
        <v>0</v>
      </c>
      <c r="AA84" s="22">
        <f t="shared" si="41"/>
        <v>0</v>
      </c>
      <c r="AB84" s="1"/>
      <c r="AC84" s="5">
        <f t="shared" si="14"/>
        <v>0</v>
      </c>
      <c r="AD84" s="5">
        <f t="shared" si="15"/>
        <v>63</v>
      </c>
      <c r="AE84" s="5">
        <f t="shared" si="16"/>
        <v>47</v>
      </c>
      <c r="AF84" s="5">
        <f t="shared" si="17"/>
        <v>0</v>
      </c>
      <c r="AG84" s="5">
        <f t="shared" si="18"/>
        <v>0</v>
      </c>
      <c r="AH84" s="5">
        <f t="shared" si="19"/>
        <v>0</v>
      </c>
      <c r="AI84" s="5">
        <f t="shared" si="20"/>
        <v>0</v>
      </c>
      <c r="AJ84" s="5">
        <f t="shared" si="21"/>
        <v>0</v>
      </c>
      <c r="AK84" s="5">
        <f t="shared" si="22"/>
        <v>0</v>
      </c>
      <c r="AL84" s="5">
        <f t="shared" si="23"/>
        <v>0</v>
      </c>
      <c r="AM84" s="5">
        <f t="shared" si="24"/>
        <v>0</v>
      </c>
      <c r="AN84" s="5">
        <f t="shared" si="25"/>
        <v>0</v>
      </c>
      <c r="AO84" s="5">
        <f t="shared" si="26"/>
        <v>0</v>
      </c>
      <c r="AP84" s="5">
        <f t="shared" si="27"/>
        <v>0</v>
      </c>
      <c r="AQ84" s="5">
        <f t="shared" si="28"/>
        <v>0</v>
      </c>
      <c r="AR84" s="5">
        <f t="shared" si="29"/>
        <v>0</v>
      </c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CA84" s="58">
        <f t="shared" si="34"/>
        <v>43661</v>
      </c>
    </row>
    <row r="85" spans="2:79" ht="15" hidden="1" outlineLevel="1" x14ac:dyDescent="0.2">
      <c r="B85" s="18">
        <f t="shared" si="36"/>
        <v>43668</v>
      </c>
      <c r="C85" s="17" t="s">
        <v>1</v>
      </c>
      <c r="D85" s="19">
        <f t="shared" si="37"/>
        <v>43674</v>
      </c>
      <c r="E85" s="20">
        <f t="shared" si="38"/>
        <v>7</v>
      </c>
      <c r="F85" s="21">
        <f t="shared" si="39"/>
        <v>2019</v>
      </c>
      <c r="G85" s="11">
        <f t="shared" si="40"/>
        <v>22</v>
      </c>
      <c r="H85" s="10">
        <f t="shared" si="40"/>
        <v>66</v>
      </c>
      <c r="I85" s="11"/>
      <c r="J85" s="11"/>
      <c r="K85" s="11"/>
      <c r="L85" s="11"/>
      <c r="M85" s="11"/>
      <c r="N85" s="11"/>
      <c r="O85" s="14"/>
      <c r="P85" s="14"/>
      <c r="Q85" s="14"/>
      <c r="R85" s="14"/>
      <c r="S85" s="14"/>
      <c r="T85" s="14"/>
      <c r="V85" s="22">
        <f t="shared" si="41"/>
        <v>21</v>
      </c>
      <c r="W85" s="22">
        <f t="shared" si="41"/>
        <v>0</v>
      </c>
      <c r="X85" s="22">
        <f t="shared" si="41"/>
        <v>0</v>
      </c>
      <c r="Y85" s="22">
        <f t="shared" si="41"/>
        <v>0</v>
      </c>
      <c r="Z85" s="22">
        <f t="shared" si="41"/>
        <v>0</v>
      </c>
      <c r="AA85" s="22">
        <f t="shared" si="41"/>
        <v>0</v>
      </c>
      <c r="AB85" s="1"/>
      <c r="AC85" s="5">
        <f t="shared" si="14"/>
        <v>0</v>
      </c>
      <c r="AD85" s="5">
        <f t="shared" si="15"/>
        <v>64</v>
      </c>
      <c r="AE85" s="5">
        <f t="shared" si="16"/>
        <v>48</v>
      </c>
      <c r="AF85" s="5">
        <f t="shared" si="17"/>
        <v>0</v>
      </c>
      <c r="AG85" s="5">
        <f t="shared" si="18"/>
        <v>0</v>
      </c>
      <c r="AH85" s="5">
        <f t="shared" si="19"/>
        <v>0</v>
      </c>
      <c r="AI85" s="5">
        <f t="shared" si="20"/>
        <v>0</v>
      </c>
      <c r="AJ85" s="5">
        <f t="shared" si="21"/>
        <v>0</v>
      </c>
      <c r="AK85" s="5">
        <f t="shared" si="22"/>
        <v>0</v>
      </c>
      <c r="AL85" s="5">
        <f t="shared" si="23"/>
        <v>0</v>
      </c>
      <c r="AM85" s="5">
        <f t="shared" si="24"/>
        <v>0</v>
      </c>
      <c r="AN85" s="5">
        <f t="shared" si="25"/>
        <v>0</v>
      </c>
      <c r="AO85" s="5">
        <f t="shared" si="26"/>
        <v>0</v>
      </c>
      <c r="AP85" s="5">
        <f t="shared" si="27"/>
        <v>0</v>
      </c>
      <c r="AQ85" s="5">
        <f t="shared" si="28"/>
        <v>0</v>
      </c>
      <c r="AR85" s="5">
        <f t="shared" si="29"/>
        <v>0</v>
      </c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CA85" s="58">
        <f t="shared" si="34"/>
        <v>43668</v>
      </c>
    </row>
    <row r="86" spans="2:79" ht="15" hidden="1" outlineLevel="1" x14ac:dyDescent="0.2">
      <c r="B86" s="18">
        <f t="shared" si="36"/>
        <v>43675</v>
      </c>
      <c r="C86" s="17" t="s">
        <v>1</v>
      </c>
      <c r="D86" s="19">
        <f t="shared" si="37"/>
        <v>43681</v>
      </c>
      <c r="E86" s="20">
        <f t="shared" si="38"/>
        <v>7</v>
      </c>
      <c r="F86" s="21">
        <f t="shared" si="39"/>
        <v>2019</v>
      </c>
      <c r="G86" s="11">
        <f t="shared" ref="G86:H101" si="42">G85</f>
        <v>22</v>
      </c>
      <c r="H86" s="10">
        <f t="shared" si="42"/>
        <v>66</v>
      </c>
      <c r="I86" s="11"/>
      <c r="J86" s="11"/>
      <c r="K86" s="11"/>
      <c r="L86" s="11"/>
      <c r="M86" s="11"/>
      <c r="N86" s="11"/>
      <c r="O86" s="14"/>
      <c r="P86" s="14"/>
      <c r="Q86" s="14"/>
      <c r="R86" s="14"/>
      <c r="S86" s="14"/>
      <c r="T86" s="14"/>
      <c r="V86" s="22">
        <f t="shared" si="41"/>
        <v>22</v>
      </c>
      <c r="W86" s="22">
        <f t="shared" si="41"/>
        <v>0</v>
      </c>
      <c r="X86" s="22">
        <f t="shared" si="41"/>
        <v>0</v>
      </c>
      <c r="Y86" s="22">
        <f t="shared" si="41"/>
        <v>0</v>
      </c>
      <c r="Z86" s="22">
        <f t="shared" si="41"/>
        <v>0</v>
      </c>
      <c r="AA86" s="22">
        <f t="shared" si="41"/>
        <v>0</v>
      </c>
      <c r="AB86" s="1"/>
      <c r="AC86" s="5">
        <f t="shared" si="14"/>
        <v>22</v>
      </c>
      <c r="AD86" s="5">
        <f t="shared" si="15"/>
        <v>65</v>
      </c>
      <c r="AE86" s="5">
        <f t="shared" si="16"/>
        <v>49</v>
      </c>
      <c r="AF86" s="5">
        <f t="shared" si="17"/>
        <v>0</v>
      </c>
      <c r="AG86" s="5">
        <f t="shared" si="18"/>
        <v>0</v>
      </c>
      <c r="AH86" s="5">
        <f t="shared" si="19"/>
        <v>0</v>
      </c>
      <c r="AI86" s="5">
        <f t="shared" si="20"/>
        <v>0</v>
      </c>
      <c r="AJ86" s="5">
        <f t="shared" si="21"/>
        <v>0</v>
      </c>
      <c r="AK86" s="5">
        <f t="shared" si="22"/>
        <v>0</v>
      </c>
      <c r="AL86" s="5">
        <f t="shared" si="23"/>
        <v>0</v>
      </c>
      <c r="AM86" s="5">
        <f t="shared" si="24"/>
        <v>0</v>
      </c>
      <c r="AN86" s="5">
        <f t="shared" si="25"/>
        <v>0</v>
      </c>
      <c r="AO86" s="5">
        <f t="shared" si="26"/>
        <v>0</v>
      </c>
      <c r="AP86" s="5">
        <f t="shared" si="27"/>
        <v>0</v>
      </c>
      <c r="AQ86" s="5">
        <f t="shared" si="28"/>
        <v>0</v>
      </c>
      <c r="AR86" s="5">
        <f t="shared" si="29"/>
        <v>0</v>
      </c>
      <c r="AS86" s="10">
        <v>1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CA86" s="58">
        <f t="shared" si="34"/>
        <v>43675</v>
      </c>
    </row>
    <row r="87" spans="2:79" ht="15" hidden="1" outlineLevel="1" x14ac:dyDescent="0.2">
      <c r="B87" s="18">
        <f t="shared" si="36"/>
        <v>43682</v>
      </c>
      <c r="C87" s="17" t="s">
        <v>1</v>
      </c>
      <c r="D87" s="19">
        <f t="shared" si="37"/>
        <v>43688</v>
      </c>
      <c r="E87" s="20">
        <f t="shared" si="38"/>
        <v>8</v>
      </c>
      <c r="F87" s="21">
        <f t="shared" si="39"/>
        <v>2019</v>
      </c>
      <c r="G87" s="11">
        <f t="shared" si="42"/>
        <v>22</v>
      </c>
      <c r="H87" s="10">
        <f t="shared" si="42"/>
        <v>66</v>
      </c>
      <c r="I87" s="11"/>
      <c r="J87" s="11"/>
      <c r="K87" s="11"/>
      <c r="L87" s="11"/>
      <c r="M87" s="11"/>
      <c r="N87" s="11"/>
      <c r="O87" s="14"/>
      <c r="P87" s="14"/>
      <c r="Q87" s="14"/>
      <c r="R87" s="14"/>
      <c r="S87" s="14"/>
      <c r="T87" s="14"/>
      <c r="V87" s="22">
        <f t="shared" si="41"/>
        <v>0</v>
      </c>
      <c r="W87" s="22">
        <f t="shared" si="41"/>
        <v>0</v>
      </c>
      <c r="X87" s="22">
        <f t="shared" si="41"/>
        <v>0</v>
      </c>
      <c r="Y87" s="22">
        <f t="shared" si="41"/>
        <v>0</v>
      </c>
      <c r="Z87" s="22">
        <f t="shared" si="41"/>
        <v>0</v>
      </c>
      <c r="AA87" s="22">
        <f t="shared" si="41"/>
        <v>0</v>
      </c>
      <c r="AB87" s="1"/>
      <c r="AC87" s="5">
        <f t="shared" si="14"/>
        <v>23</v>
      </c>
      <c r="AD87" s="5">
        <f t="shared" si="15"/>
        <v>66</v>
      </c>
      <c r="AE87" s="5">
        <f t="shared" si="16"/>
        <v>50</v>
      </c>
      <c r="AF87" s="5">
        <f t="shared" si="17"/>
        <v>0</v>
      </c>
      <c r="AG87" s="5">
        <f t="shared" si="18"/>
        <v>0</v>
      </c>
      <c r="AH87" s="5">
        <f t="shared" si="19"/>
        <v>0</v>
      </c>
      <c r="AI87" s="5">
        <f t="shared" si="20"/>
        <v>0</v>
      </c>
      <c r="AJ87" s="5">
        <f t="shared" si="21"/>
        <v>0</v>
      </c>
      <c r="AK87" s="5">
        <f t="shared" si="22"/>
        <v>0</v>
      </c>
      <c r="AL87" s="5">
        <f t="shared" si="23"/>
        <v>0</v>
      </c>
      <c r="AM87" s="5">
        <f t="shared" si="24"/>
        <v>0</v>
      </c>
      <c r="AN87" s="5">
        <f t="shared" si="25"/>
        <v>0</v>
      </c>
      <c r="AO87" s="5">
        <f t="shared" si="26"/>
        <v>0</v>
      </c>
      <c r="AP87" s="5">
        <f t="shared" si="27"/>
        <v>0</v>
      </c>
      <c r="AQ87" s="5">
        <f t="shared" si="28"/>
        <v>0</v>
      </c>
      <c r="AR87" s="5">
        <f t="shared" si="29"/>
        <v>0</v>
      </c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CA87" s="58">
        <f t="shared" si="34"/>
        <v>43682</v>
      </c>
    </row>
    <row r="88" spans="2:79" ht="15" hidden="1" outlineLevel="1" x14ac:dyDescent="0.2">
      <c r="B88" s="18">
        <f t="shared" si="36"/>
        <v>43689</v>
      </c>
      <c r="C88" s="17" t="s">
        <v>1</v>
      </c>
      <c r="D88" s="19">
        <f t="shared" si="37"/>
        <v>43695</v>
      </c>
      <c r="E88" s="20">
        <f t="shared" si="38"/>
        <v>8</v>
      </c>
      <c r="F88" s="21">
        <f t="shared" si="39"/>
        <v>2019</v>
      </c>
      <c r="G88" s="11">
        <f t="shared" si="42"/>
        <v>22</v>
      </c>
      <c r="H88" s="10">
        <f t="shared" si="42"/>
        <v>66</v>
      </c>
      <c r="I88" s="11"/>
      <c r="J88" s="11"/>
      <c r="K88" s="11"/>
      <c r="L88" s="11"/>
      <c r="M88" s="11"/>
      <c r="N88" s="11"/>
      <c r="O88" s="14"/>
      <c r="P88" s="14"/>
      <c r="Q88" s="14"/>
      <c r="R88" s="14"/>
      <c r="S88" s="14"/>
      <c r="T88" s="14"/>
      <c r="V88" s="22">
        <f t="shared" si="41"/>
        <v>0</v>
      </c>
      <c r="W88" s="22">
        <f t="shared" si="41"/>
        <v>0</v>
      </c>
      <c r="X88" s="22">
        <f t="shared" si="41"/>
        <v>0</v>
      </c>
      <c r="Y88" s="22">
        <f t="shared" si="41"/>
        <v>0</v>
      </c>
      <c r="Z88" s="22">
        <f t="shared" si="41"/>
        <v>0</v>
      </c>
      <c r="AA88" s="22">
        <f t="shared" si="41"/>
        <v>0</v>
      </c>
      <c r="AB88" s="1"/>
      <c r="AC88" s="5">
        <f t="shared" si="14"/>
        <v>24</v>
      </c>
      <c r="AD88" s="5">
        <f t="shared" si="15"/>
        <v>0</v>
      </c>
      <c r="AE88" s="5">
        <f t="shared" si="16"/>
        <v>51</v>
      </c>
      <c r="AF88" s="5">
        <f t="shared" si="17"/>
        <v>0</v>
      </c>
      <c r="AG88" s="5">
        <f t="shared" si="18"/>
        <v>0</v>
      </c>
      <c r="AH88" s="5">
        <f t="shared" si="19"/>
        <v>0</v>
      </c>
      <c r="AI88" s="5">
        <f t="shared" si="20"/>
        <v>0</v>
      </c>
      <c r="AJ88" s="5">
        <f t="shared" si="21"/>
        <v>0</v>
      </c>
      <c r="AK88" s="5">
        <f t="shared" si="22"/>
        <v>0</v>
      </c>
      <c r="AL88" s="5">
        <f t="shared" si="23"/>
        <v>0</v>
      </c>
      <c r="AM88" s="5">
        <f t="shared" si="24"/>
        <v>0</v>
      </c>
      <c r="AN88" s="5">
        <f t="shared" si="25"/>
        <v>0</v>
      </c>
      <c r="AO88" s="5">
        <f t="shared" si="26"/>
        <v>0</v>
      </c>
      <c r="AP88" s="5">
        <f t="shared" si="27"/>
        <v>0</v>
      </c>
      <c r="AQ88" s="5">
        <f t="shared" si="28"/>
        <v>0</v>
      </c>
      <c r="AR88" s="5">
        <f t="shared" si="29"/>
        <v>0</v>
      </c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CA88" s="58">
        <f t="shared" si="34"/>
        <v>43689</v>
      </c>
    </row>
    <row r="89" spans="2:79" ht="15" hidden="1" outlineLevel="1" x14ac:dyDescent="0.2">
      <c r="B89" s="18">
        <f t="shared" si="36"/>
        <v>43696</v>
      </c>
      <c r="C89" s="17" t="s">
        <v>1</v>
      </c>
      <c r="D89" s="19">
        <f t="shared" si="37"/>
        <v>43702</v>
      </c>
      <c r="E89" s="20">
        <f t="shared" si="38"/>
        <v>8</v>
      </c>
      <c r="F89" s="21">
        <f t="shared" si="39"/>
        <v>2019</v>
      </c>
      <c r="G89" s="11">
        <f t="shared" si="42"/>
        <v>22</v>
      </c>
      <c r="H89" s="10">
        <f t="shared" si="42"/>
        <v>66</v>
      </c>
      <c r="I89" s="11"/>
      <c r="J89" s="11"/>
      <c r="K89" s="11"/>
      <c r="L89" s="11"/>
      <c r="M89" s="11"/>
      <c r="N89" s="11"/>
      <c r="O89" s="14"/>
      <c r="P89" s="14"/>
      <c r="Q89" s="14"/>
      <c r="R89" s="14"/>
      <c r="S89" s="14"/>
      <c r="T89" s="14"/>
      <c r="V89" s="22">
        <f t="shared" si="41"/>
        <v>0</v>
      </c>
      <c r="W89" s="22">
        <f t="shared" si="41"/>
        <v>0</v>
      </c>
      <c r="X89" s="22">
        <f t="shared" si="41"/>
        <v>0</v>
      </c>
      <c r="Y89" s="22">
        <f t="shared" si="41"/>
        <v>0</v>
      </c>
      <c r="Z89" s="22">
        <f t="shared" si="41"/>
        <v>0</v>
      </c>
      <c r="AA89" s="22">
        <f t="shared" si="41"/>
        <v>0</v>
      </c>
      <c r="AB89" s="1"/>
      <c r="AC89" s="5">
        <f t="shared" si="14"/>
        <v>25</v>
      </c>
      <c r="AD89" s="5">
        <f t="shared" si="15"/>
        <v>0</v>
      </c>
      <c r="AE89" s="5">
        <f t="shared" si="16"/>
        <v>52</v>
      </c>
      <c r="AF89" s="5">
        <f t="shared" si="17"/>
        <v>0</v>
      </c>
      <c r="AG89" s="5">
        <f t="shared" si="18"/>
        <v>0</v>
      </c>
      <c r="AH89" s="5">
        <f t="shared" si="19"/>
        <v>0</v>
      </c>
      <c r="AI89" s="5">
        <f t="shared" si="20"/>
        <v>0</v>
      </c>
      <c r="AJ89" s="5">
        <f t="shared" si="21"/>
        <v>0</v>
      </c>
      <c r="AK89" s="5">
        <f t="shared" si="22"/>
        <v>0</v>
      </c>
      <c r="AL89" s="5">
        <f t="shared" si="23"/>
        <v>0</v>
      </c>
      <c r="AM89" s="5">
        <f t="shared" si="24"/>
        <v>0</v>
      </c>
      <c r="AN89" s="5">
        <f t="shared" si="25"/>
        <v>0</v>
      </c>
      <c r="AO89" s="5">
        <f t="shared" si="26"/>
        <v>0</v>
      </c>
      <c r="AP89" s="5">
        <f t="shared" si="27"/>
        <v>0</v>
      </c>
      <c r="AQ89" s="5">
        <f t="shared" si="28"/>
        <v>0</v>
      </c>
      <c r="AR89" s="5">
        <f t="shared" si="29"/>
        <v>0</v>
      </c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CA89" s="58">
        <f t="shared" si="34"/>
        <v>43696</v>
      </c>
    </row>
    <row r="90" spans="2:79" ht="15" hidden="1" outlineLevel="1" x14ac:dyDescent="0.2">
      <c r="B90" s="18">
        <f t="shared" si="36"/>
        <v>43703</v>
      </c>
      <c r="C90" s="17" t="s">
        <v>1</v>
      </c>
      <c r="D90" s="19">
        <f t="shared" si="37"/>
        <v>43709</v>
      </c>
      <c r="E90" s="20">
        <f t="shared" si="38"/>
        <v>8</v>
      </c>
      <c r="F90" s="21">
        <f t="shared" si="39"/>
        <v>2019</v>
      </c>
      <c r="G90" s="11">
        <f t="shared" si="42"/>
        <v>22</v>
      </c>
      <c r="H90" s="10">
        <f t="shared" si="42"/>
        <v>66</v>
      </c>
      <c r="I90" s="11"/>
      <c r="J90" s="11"/>
      <c r="K90" s="11"/>
      <c r="L90" s="11"/>
      <c r="M90" s="11"/>
      <c r="N90" s="11"/>
      <c r="O90" s="14"/>
      <c r="P90" s="14"/>
      <c r="Q90" s="14"/>
      <c r="R90" s="14"/>
      <c r="S90" s="14"/>
      <c r="T90" s="14"/>
      <c r="V90" s="22">
        <f t="shared" si="41"/>
        <v>0</v>
      </c>
      <c r="W90" s="22">
        <f t="shared" si="41"/>
        <v>0</v>
      </c>
      <c r="X90" s="22">
        <f t="shared" si="41"/>
        <v>0</v>
      </c>
      <c r="Y90" s="22">
        <f t="shared" si="41"/>
        <v>0</v>
      </c>
      <c r="Z90" s="22">
        <f t="shared" si="41"/>
        <v>0</v>
      </c>
      <c r="AA90" s="22">
        <f t="shared" si="41"/>
        <v>0</v>
      </c>
      <c r="AB90" s="1"/>
      <c r="AC90" s="5">
        <f t="shared" si="14"/>
        <v>26</v>
      </c>
      <c r="AD90" s="5">
        <f t="shared" si="15"/>
        <v>0</v>
      </c>
      <c r="AE90" s="5">
        <f t="shared" si="16"/>
        <v>53</v>
      </c>
      <c r="AF90" s="5">
        <f t="shared" si="17"/>
        <v>0</v>
      </c>
      <c r="AG90" s="5">
        <f t="shared" si="18"/>
        <v>0</v>
      </c>
      <c r="AH90" s="5">
        <f t="shared" si="19"/>
        <v>0</v>
      </c>
      <c r="AI90" s="5">
        <f t="shared" si="20"/>
        <v>0</v>
      </c>
      <c r="AJ90" s="5">
        <f t="shared" si="21"/>
        <v>0</v>
      </c>
      <c r="AK90" s="5">
        <f t="shared" si="22"/>
        <v>0</v>
      </c>
      <c r="AL90" s="5">
        <f t="shared" si="23"/>
        <v>0</v>
      </c>
      <c r="AM90" s="5">
        <f t="shared" si="24"/>
        <v>0</v>
      </c>
      <c r="AN90" s="5">
        <f t="shared" si="25"/>
        <v>0</v>
      </c>
      <c r="AO90" s="5">
        <f t="shared" si="26"/>
        <v>0</v>
      </c>
      <c r="AP90" s="5">
        <f t="shared" si="27"/>
        <v>0</v>
      </c>
      <c r="AQ90" s="5">
        <f t="shared" si="28"/>
        <v>0</v>
      </c>
      <c r="AR90" s="5">
        <f t="shared" si="29"/>
        <v>0</v>
      </c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CA90" s="58">
        <f t="shared" si="34"/>
        <v>43703</v>
      </c>
    </row>
    <row r="91" spans="2:79" ht="15" hidden="1" outlineLevel="1" x14ac:dyDescent="0.2">
      <c r="B91" s="18">
        <f t="shared" si="36"/>
        <v>43710</v>
      </c>
      <c r="C91" s="17" t="s">
        <v>1</v>
      </c>
      <c r="D91" s="19">
        <f t="shared" si="37"/>
        <v>43716</v>
      </c>
      <c r="E91" s="20">
        <f t="shared" si="38"/>
        <v>9</v>
      </c>
      <c r="F91" s="21">
        <f t="shared" si="39"/>
        <v>2019</v>
      </c>
      <c r="G91" s="11">
        <f t="shared" si="42"/>
        <v>22</v>
      </c>
      <c r="H91" s="10">
        <f t="shared" si="42"/>
        <v>66</v>
      </c>
      <c r="I91" s="11"/>
      <c r="J91" s="11"/>
      <c r="K91" s="11"/>
      <c r="L91" s="11"/>
      <c r="M91" s="11"/>
      <c r="N91" s="11"/>
      <c r="O91" s="14"/>
      <c r="P91" s="14"/>
      <c r="Q91" s="14"/>
      <c r="R91" s="14"/>
      <c r="S91" s="14"/>
      <c r="T91" s="14"/>
      <c r="V91" s="22">
        <f t="shared" si="41"/>
        <v>0</v>
      </c>
      <c r="W91" s="22">
        <f t="shared" si="41"/>
        <v>0</v>
      </c>
      <c r="X91" s="22">
        <f t="shared" si="41"/>
        <v>0</v>
      </c>
      <c r="Y91" s="22">
        <f t="shared" si="41"/>
        <v>0</v>
      </c>
      <c r="Z91" s="22">
        <f t="shared" si="41"/>
        <v>0</v>
      </c>
      <c r="AA91" s="22">
        <f t="shared" si="41"/>
        <v>0</v>
      </c>
      <c r="AB91" s="1"/>
      <c r="AC91" s="5">
        <f t="shared" si="14"/>
        <v>27</v>
      </c>
      <c r="AD91" s="5">
        <f t="shared" si="15"/>
        <v>0</v>
      </c>
      <c r="AE91" s="5">
        <f t="shared" si="16"/>
        <v>54</v>
      </c>
      <c r="AF91" s="5">
        <f t="shared" si="17"/>
        <v>0</v>
      </c>
      <c r="AG91" s="5">
        <f t="shared" si="18"/>
        <v>0</v>
      </c>
      <c r="AH91" s="5">
        <f t="shared" si="19"/>
        <v>0</v>
      </c>
      <c r="AI91" s="5">
        <f t="shared" si="20"/>
        <v>0</v>
      </c>
      <c r="AJ91" s="5">
        <f t="shared" si="21"/>
        <v>0</v>
      </c>
      <c r="AK91" s="5">
        <f t="shared" si="22"/>
        <v>0</v>
      </c>
      <c r="AL91" s="5">
        <f t="shared" si="23"/>
        <v>0</v>
      </c>
      <c r="AM91" s="5">
        <f t="shared" si="24"/>
        <v>0</v>
      </c>
      <c r="AN91" s="5">
        <f t="shared" si="25"/>
        <v>0</v>
      </c>
      <c r="AO91" s="5">
        <f t="shared" si="26"/>
        <v>0</v>
      </c>
      <c r="AP91" s="5">
        <f t="shared" si="27"/>
        <v>0</v>
      </c>
      <c r="AQ91" s="5">
        <f t="shared" si="28"/>
        <v>0</v>
      </c>
      <c r="AR91" s="5">
        <f t="shared" si="29"/>
        <v>0</v>
      </c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CA91" s="58">
        <f t="shared" si="34"/>
        <v>43710</v>
      </c>
    </row>
    <row r="92" spans="2:79" ht="15" hidden="1" outlineLevel="1" x14ac:dyDescent="0.2">
      <c r="B92" s="18">
        <f t="shared" si="36"/>
        <v>43717</v>
      </c>
      <c r="C92" s="17" t="s">
        <v>1</v>
      </c>
      <c r="D92" s="19">
        <f t="shared" si="37"/>
        <v>43723</v>
      </c>
      <c r="E92" s="20">
        <f t="shared" si="38"/>
        <v>9</v>
      </c>
      <c r="F92" s="21">
        <f t="shared" si="39"/>
        <v>2019</v>
      </c>
      <c r="G92" s="11">
        <f t="shared" si="42"/>
        <v>22</v>
      </c>
      <c r="H92" s="10">
        <f t="shared" si="42"/>
        <v>66</v>
      </c>
      <c r="I92" s="11"/>
      <c r="J92" s="11"/>
      <c r="K92" s="11"/>
      <c r="L92" s="11"/>
      <c r="M92" s="11"/>
      <c r="N92" s="11"/>
      <c r="O92" s="14"/>
      <c r="P92" s="14"/>
      <c r="Q92" s="14"/>
      <c r="R92" s="14"/>
      <c r="S92" s="14"/>
      <c r="T92" s="14"/>
      <c r="V92" s="22">
        <f t="shared" si="41"/>
        <v>0</v>
      </c>
      <c r="W92" s="22">
        <f t="shared" si="41"/>
        <v>0</v>
      </c>
      <c r="X92" s="22">
        <f t="shared" si="41"/>
        <v>0</v>
      </c>
      <c r="Y92" s="22">
        <f t="shared" si="41"/>
        <v>0</v>
      </c>
      <c r="Z92" s="22">
        <f t="shared" si="41"/>
        <v>0</v>
      </c>
      <c r="AA92" s="22">
        <f t="shared" si="41"/>
        <v>0</v>
      </c>
      <c r="AB92" s="1"/>
      <c r="AC92" s="5">
        <f t="shared" si="14"/>
        <v>28</v>
      </c>
      <c r="AD92" s="5">
        <f t="shared" si="15"/>
        <v>0</v>
      </c>
      <c r="AE92" s="5">
        <f t="shared" si="16"/>
        <v>55</v>
      </c>
      <c r="AF92" s="5">
        <f t="shared" si="17"/>
        <v>0</v>
      </c>
      <c r="AG92" s="5">
        <f t="shared" si="18"/>
        <v>0</v>
      </c>
      <c r="AH92" s="5">
        <f t="shared" si="19"/>
        <v>0</v>
      </c>
      <c r="AI92" s="5">
        <f t="shared" si="20"/>
        <v>0</v>
      </c>
      <c r="AJ92" s="5">
        <f t="shared" si="21"/>
        <v>0</v>
      </c>
      <c r="AK92" s="5">
        <f t="shared" si="22"/>
        <v>0</v>
      </c>
      <c r="AL92" s="5">
        <f t="shared" si="23"/>
        <v>0</v>
      </c>
      <c r="AM92" s="5">
        <f t="shared" si="24"/>
        <v>0</v>
      </c>
      <c r="AN92" s="5">
        <f t="shared" si="25"/>
        <v>0</v>
      </c>
      <c r="AO92" s="5">
        <f t="shared" si="26"/>
        <v>0</v>
      </c>
      <c r="AP92" s="5">
        <f t="shared" si="27"/>
        <v>0</v>
      </c>
      <c r="AQ92" s="5">
        <f t="shared" si="28"/>
        <v>0</v>
      </c>
      <c r="AR92" s="5">
        <f t="shared" si="29"/>
        <v>0</v>
      </c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CA92" s="58">
        <f t="shared" si="34"/>
        <v>43717</v>
      </c>
    </row>
    <row r="93" spans="2:79" ht="15" hidden="1" outlineLevel="1" x14ac:dyDescent="0.2">
      <c r="B93" s="18">
        <f t="shared" si="36"/>
        <v>43724</v>
      </c>
      <c r="C93" s="17" t="s">
        <v>1</v>
      </c>
      <c r="D93" s="19">
        <f t="shared" si="37"/>
        <v>43730</v>
      </c>
      <c r="E93" s="20">
        <f t="shared" si="38"/>
        <v>9</v>
      </c>
      <c r="F93" s="21">
        <f t="shared" si="39"/>
        <v>2019</v>
      </c>
      <c r="G93" s="11">
        <f t="shared" si="42"/>
        <v>22</v>
      </c>
      <c r="H93" s="10">
        <f t="shared" si="42"/>
        <v>66</v>
      </c>
      <c r="I93" s="11"/>
      <c r="J93" s="11"/>
      <c r="K93" s="11"/>
      <c r="L93" s="11"/>
      <c r="M93" s="11"/>
      <c r="N93" s="11"/>
      <c r="O93" s="14"/>
      <c r="P93" s="14"/>
      <c r="Q93" s="14"/>
      <c r="R93" s="14"/>
      <c r="S93" s="14"/>
      <c r="T93" s="14"/>
      <c r="V93" s="22">
        <f t="shared" si="41"/>
        <v>0</v>
      </c>
      <c r="W93" s="22">
        <f t="shared" si="41"/>
        <v>0</v>
      </c>
      <c r="X93" s="22">
        <f t="shared" si="41"/>
        <v>0</v>
      </c>
      <c r="Y93" s="22">
        <f t="shared" si="41"/>
        <v>0</v>
      </c>
      <c r="Z93" s="22">
        <f t="shared" si="41"/>
        <v>0</v>
      </c>
      <c r="AA93" s="22">
        <f t="shared" si="41"/>
        <v>0</v>
      </c>
      <c r="AB93" s="1"/>
      <c r="AC93" s="5">
        <f t="shared" ref="AC93:AC156" si="43">IF(AND(AS93&gt;=$V$2,AS93&lt;=$AA$2),LOOKUP(AS93,$V$2:$AA$2,$V93:$AA93),IF(AS92="A",0,IF(AC92=$H93,0,IF(AC92=0,0,AC92+1))))</f>
        <v>29</v>
      </c>
      <c r="AD93" s="5">
        <f t="shared" ref="AD93:AD156" si="44">IF(AND(AT93&gt;=$V$2,AT93&lt;=$AA$2),LOOKUP(AT93,$V$2:$AA$2,$V93:$AA93),IF(AT92="A",0,IF(AD92=$H93,0,IF(AD92=0,0,AD92+1))))</f>
        <v>0</v>
      </c>
      <c r="AE93" s="5">
        <f t="shared" ref="AE93:AE156" si="45">IF(AND(AU93&gt;=$V$2,AU93&lt;=$AA$2),LOOKUP(AU93,$V$2:$AA$2,$V93:$AA93),IF(AU92="A",0,IF(AE92=$H93,0,IF(AE92=0,0,AE92+1))))</f>
        <v>56</v>
      </c>
      <c r="AF93" s="5">
        <f t="shared" ref="AF93:AF156" si="46">IF(AND(AV93&gt;=$V$2,AV93&lt;=$AA$2),LOOKUP(AV93,$V$2:$AA$2,$V93:$AA93),IF(AV92="A",0,IF(AF92=$H93,0,IF(AF92=0,0,AF92+1))))</f>
        <v>0</v>
      </c>
      <c r="AG93" s="5">
        <f t="shared" ref="AG93:AG156" si="47">IF(AND(AW93&gt;=$V$2,AW93&lt;=$AA$2),LOOKUP(AW93,$V$2:$AA$2,$V93:$AA93),IF(AW92="A",0,IF(AG92=$H93,0,IF(AG92=0,0,AG92+1))))</f>
        <v>0</v>
      </c>
      <c r="AH93" s="5">
        <f t="shared" ref="AH93:AH156" si="48">IF(AND(AX93&gt;=$V$2,AX93&lt;=$AA$2),LOOKUP(AX93,$V$2:$AA$2,$V93:$AA93),IF(AX92="A",0,IF(AH92=$H93,0,IF(AH92=0,0,AH92+1))))</f>
        <v>0</v>
      </c>
      <c r="AI93" s="5">
        <f t="shared" ref="AI93:AI156" si="49">IF(AND(AY93&gt;=$V$2,AY93&lt;=$AA$2),LOOKUP(AY93,$V$2:$AA$2,$V93:$AA93),IF(AY92="A",0,IF(AI92=$H93,0,IF(AI92=0,0,AI92+1))))</f>
        <v>0</v>
      </c>
      <c r="AJ93" s="5">
        <f t="shared" ref="AJ93:AJ156" si="50">IF(AND(AZ93&gt;=$V$2,AZ93&lt;=$AA$2),LOOKUP(AZ93,$V$2:$AA$2,$V93:$AA93),IF(AZ92="A",0,IF(AJ92=$H93,0,IF(AJ92=0,0,AJ92+1))))</f>
        <v>0</v>
      </c>
      <c r="AK93" s="5">
        <f t="shared" ref="AK93:AK156" si="51">IF(AND(BA93&gt;=$V$2,BA93&lt;=$AA$2),LOOKUP(BA93,$V$2:$AA$2,$V93:$AA93),IF(BA92="A",0,IF(AK92=$H93,0,IF(AK92=0,0,AK92+1))))</f>
        <v>0</v>
      </c>
      <c r="AL93" s="5">
        <f t="shared" ref="AL93:AL156" si="52">IF(AND(BB93&gt;=$V$2,BB93&lt;=$AA$2),LOOKUP(BB93,$V$2:$AA$2,$V93:$AA93),IF(BB92="A",0,IF(AL92=$H93,0,IF(AL92=0,0,AL92+1))))</f>
        <v>0</v>
      </c>
      <c r="AM93" s="5">
        <f t="shared" ref="AM93:AM156" si="53">IF(AND(BC93&gt;=$V$2,BC93&lt;=$AA$2),LOOKUP(BC93,$V$2:$AA$2,$V93:$AA93),IF(BC92="A",0,IF(AM92=$H93,0,IF(AM92=0,0,AM92+1))))</f>
        <v>0</v>
      </c>
      <c r="AN93" s="5">
        <f t="shared" ref="AN93:AN156" si="54">IF(AND(BD93&gt;=$V$2,BD93&lt;=$AA$2),LOOKUP(BD93,$V$2:$AA$2,$V93:$AA93),IF(BD92="A",0,IF(AN92=$H93,0,IF(AN92=0,0,AN92+1))))</f>
        <v>0</v>
      </c>
      <c r="AO93" s="5">
        <f t="shared" ref="AO93:AO156" si="55">IF(AND(BE93&gt;=$V$2,BE93&lt;=$AA$2),LOOKUP(BE93,$V$2:$AA$2,$V93:$AA93),IF(BE92="A",0,IF(AO92=$H93,0,IF(AO92=0,0,AO92+1))))</f>
        <v>0</v>
      </c>
      <c r="AP93" s="5">
        <f t="shared" ref="AP93:AP156" si="56">IF(AND(BF93&gt;=$V$2,BF93&lt;=$AA$2),LOOKUP(BF93,$V$2:$AA$2,$V93:$AA93),IF(BF92="A",0,IF(AP92=$H93,0,IF(AP92=0,0,AP92+1))))</f>
        <v>0</v>
      </c>
      <c r="AQ93" s="5">
        <f t="shared" ref="AQ93:AQ156" si="57">IF(AND(BG93&gt;=$V$2,BG93&lt;=$AA$2),LOOKUP(BG93,$V$2:$AA$2,$V93:$AA93),IF(BG92="A",0,IF(AQ92=$H93,0,IF(AQ92=0,0,AQ92+1))))</f>
        <v>0</v>
      </c>
      <c r="AR93" s="5">
        <f t="shared" ref="AR93:AR156" si="58">IF(AND(BH93&gt;=$V$2,BH93&lt;=$AA$2),LOOKUP(BH93,$V$2:$AA$2,$V93:$AA93),IF(BH92="A",0,IF(AR92=$H93,0,IF(AR92=0,0,AR92+1))))</f>
        <v>0</v>
      </c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CA93" s="58">
        <f t="shared" si="34"/>
        <v>43724</v>
      </c>
    </row>
    <row r="94" spans="2:79" ht="15" hidden="1" outlineLevel="1" x14ac:dyDescent="0.2">
      <c r="B94" s="18">
        <f t="shared" si="36"/>
        <v>43731</v>
      </c>
      <c r="C94" s="17" t="s">
        <v>1</v>
      </c>
      <c r="D94" s="19">
        <f t="shared" si="37"/>
        <v>43737</v>
      </c>
      <c r="E94" s="20">
        <f t="shared" si="38"/>
        <v>9</v>
      </c>
      <c r="F94" s="21">
        <f t="shared" si="39"/>
        <v>2019</v>
      </c>
      <c r="G94" s="11">
        <f t="shared" si="42"/>
        <v>22</v>
      </c>
      <c r="H94" s="10">
        <f t="shared" si="42"/>
        <v>66</v>
      </c>
      <c r="I94" s="11"/>
      <c r="J94" s="11"/>
      <c r="K94" s="11"/>
      <c r="L94" s="11"/>
      <c r="M94" s="11"/>
      <c r="N94" s="11"/>
      <c r="O94" s="14">
        <v>1</v>
      </c>
      <c r="P94" s="14"/>
      <c r="Q94" s="14"/>
      <c r="R94" s="14"/>
      <c r="S94" s="14"/>
      <c r="T94" s="14"/>
      <c r="V94" s="22">
        <f t="shared" si="41"/>
        <v>43733</v>
      </c>
      <c r="W94" s="22">
        <f t="shared" si="41"/>
        <v>0</v>
      </c>
      <c r="X94" s="22">
        <f t="shared" si="41"/>
        <v>0</v>
      </c>
      <c r="Y94" s="22">
        <f t="shared" si="41"/>
        <v>0</v>
      </c>
      <c r="Z94" s="22">
        <f t="shared" si="41"/>
        <v>0</v>
      </c>
      <c r="AA94" s="22">
        <f t="shared" si="41"/>
        <v>0</v>
      </c>
      <c r="AB94" s="1"/>
      <c r="AC94" s="5">
        <f t="shared" si="43"/>
        <v>30</v>
      </c>
      <c r="AD94" s="5">
        <f t="shared" si="44"/>
        <v>0</v>
      </c>
      <c r="AE94" s="5">
        <f t="shared" si="45"/>
        <v>57</v>
      </c>
      <c r="AF94" s="5">
        <f t="shared" si="46"/>
        <v>0</v>
      </c>
      <c r="AG94" s="5">
        <f t="shared" si="47"/>
        <v>0</v>
      </c>
      <c r="AH94" s="5">
        <f t="shared" si="48"/>
        <v>0</v>
      </c>
      <c r="AI94" s="5">
        <f t="shared" si="49"/>
        <v>0</v>
      </c>
      <c r="AJ94" s="5">
        <f t="shared" si="50"/>
        <v>0</v>
      </c>
      <c r="AK94" s="5">
        <f t="shared" si="51"/>
        <v>0</v>
      </c>
      <c r="AL94" s="5">
        <f t="shared" si="52"/>
        <v>0</v>
      </c>
      <c r="AM94" s="5">
        <f t="shared" si="53"/>
        <v>0</v>
      </c>
      <c r="AN94" s="5">
        <f t="shared" si="54"/>
        <v>0</v>
      </c>
      <c r="AO94" s="5">
        <f t="shared" si="55"/>
        <v>0</v>
      </c>
      <c r="AP94" s="5">
        <f t="shared" si="56"/>
        <v>0</v>
      </c>
      <c r="AQ94" s="5">
        <f t="shared" si="57"/>
        <v>0</v>
      </c>
      <c r="AR94" s="5">
        <f t="shared" si="58"/>
        <v>0</v>
      </c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CA94" s="58">
        <f t="shared" si="34"/>
        <v>43731</v>
      </c>
    </row>
    <row r="95" spans="2:79" ht="15" hidden="1" outlineLevel="1" x14ac:dyDescent="0.2">
      <c r="B95" s="18">
        <f t="shared" si="36"/>
        <v>43738</v>
      </c>
      <c r="C95" s="17" t="s">
        <v>1</v>
      </c>
      <c r="D95" s="19">
        <f t="shared" si="37"/>
        <v>43744</v>
      </c>
      <c r="E95" s="20">
        <f t="shared" si="38"/>
        <v>9</v>
      </c>
      <c r="F95" s="21">
        <f t="shared" si="39"/>
        <v>2019</v>
      </c>
      <c r="G95" s="11">
        <f t="shared" si="42"/>
        <v>22</v>
      </c>
      <c r="H95" s="10">
        <f t="shared" si="42"/>
        <v>66</v>
      </c>
      <c r="I95" s="11"/>
      <c r="J95" s="11"/>
      <c r="K95" s="11"/>
      <c r="L95" s="11"/>
      <c r="M95" s="11"/>
      <c r="N95" s="11"/>
      <c r="O95" s="14"/>
      <c r="P95" s="14"/>
      <c r="Q95" s="14"/>
      <c r="R95" s="14"/>
      <c r="S95" s="14"/>
      <c r="T95" s="14"/>
      <c r="V95" s="22">
        <f t="shared" si="41"/>
        <v>1</v>
      </c>
      <c r="W95" s="22">
        <f t="shared" si="41"/>
        <v>0</v>
      </c>
      <c r="X95" s="22">
        <f t="shared" si="41"/>
        <v>0</v>
      </c>
      <c r="Y95" s="22">
        <f t="shared" si="41"/>
        <v>0</v>
      </c>
      <c r="Z95" s="22">
        <f t="shared" si="41"/>
        <v>0</v>
      </c>
      <c r="AA95" s="22">
        <f t="shared" si="41"/>
        <v>0</v>
      </c>
      <c r="AB95" s="1"/>
      <c r="AC95" s="5">
        <f t="shared" si="43"/>
        <v>31</v>
      </c>
      <c r="AD95" s="5">
        <f t="shared" si="44"/>
        <v>0</v>
      </c>
      <c r="AE95" s="5">
        <f t="shared" si="45"/>
        <v>58</v>
      </c>
      <c r="AF95" s="5">
        <f t="shared" si="46"/>
        <v>0</v>
      </c>
      <c r="AG95" s="5">
        <f t="shared" si="47"/>
        <v>0</v>
      </c>
      <c r="AH95" s="5">
        <f t="shared" si="48"/>
        <v>0</v>
      </c>
      <c r="AI95" s="5">
        <f t="shared" si="49"/>
        <v>0</v>
      </c>
      <c r="AJ95" s="5">
        <f t="shared" si="50"/>
        <v>0</v>
      </c>
      <c r="AK95" s="5">
        <f t="shared" si="51"/>
        <v>0</v>
      </c>
      <c r="AL95" s="5">
        <f t="shared" si="52"/>
        <v>0</v>
      </c>
      <c r="AM95" s="5">
        <f t="shared" si="53"/>
        <v>0</v>
      </c>
      <c r="AN95" s="5">
        <f t="shared" si="54"/>
        <v>0</v>
      </c>
      <c r="AO95" s="5">
        <f t="shared" si="55"/>
        <v>0</v>
      </c>
      <c r="AP95" s="5">
        <f t="shared" si="56"/>
        <v>0</v>
      </c>
      <c r="AQ95" s="5">
        <f t="shared" si="57"/>
        <v>0</v>
      </c>
      <c r="AR95" s="5">
        <f t="shared" si="58"/>
        <v>0</v>
      </c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CA95" s="58">
        <f t="shared" si="34"/>
        <v>43738</v>
      </c>
    </row>
    <row r="96" spans="2:79" ht="15" hidden="1" outlineLevel="1" x14ac:dyDescent="0.2">
      <c r="B96" s="18">
        <f t="shared" si="36"/>
        <v>43745</v>
      </c>
      <c r="C96" s="17" t="s">
        <v>1</v>
      </c>
      <c r="D96" s="19">
        <f t="shared" si="37"/>
        <v>43751</v>
      </c>
      <c r="E96" s="20">
        <f t="shared" si="38"/>
        <v>10</v>
      </c>
      <c r="F96" s="21">
        <f t="shared" si="39"/>
        <v>2019</v>
      </c>
      <c r="G96" s="11">
        <f t="shared" si="42"/>
        <v>22</v>
      </c>
      <c r="H96" s="10">
        <f t="shared" si="42"/>
        <v>66</v>
      </c>
      <c r="I96" s="11"/>
      <c r="J96" s="11"/>
      <c r="K96" s="11"/>
      <c r="L96" s="11"/>
      <c r="M96" s="11"/>
      <c r="N96" s="11"/>
      <c r="O96" s="14"/>
      <c r="P96" s="14"/>
      <c r="Q96" s="14"/>
      <c r="R96" s="14"/>
      <c r="S96" s="14"/>
      <c r="T96" s="14"/>
      <c r="V96" s="22">
        <f t="shared" si="41"/>
        <v>2</v>
      </c>
      <c r="W96" s="22">
        <f t="shared" si="41"/>
        <v>0</v>
      </c>
      <c r="X96" s="22">
        <f t="shared" si="41"/>
        <v>0</v>
      </c>
      <c r="Y96" s="22">
        <f t="shared" si="41"/>
        <v>0</v>
      </c>
      <c r="Z96" s="22">
        <f t="shared" si="41"/>
        <v>0</v>
      </c>
      <c r="AA96" s="22">
        <f t="shared" si="41"/>
        <v>0</v>
      </c>
      <c r="AB96" s="1"/>
      <c r="AC96" s="5">
        <f t="shared" si="43"/>
        <v>32</v>
      </c>
      <c r="AD96" s="5">
        <f t="shared" si="44"/>
        <v>0</v>
      </c>
      <c r="AE96" s="5">
        <f t="shared" si="45"/>
        <v>59</v>
      </c>
      <c r="AF96" s="5">
        <f t="shared" si="46"/>
        <v>0</v>
      </c>
      <c r="AG96" s="5">
        <f t="shared" si="47"/>
        <v>0</v>
      </c>
      <c r="AH96" s="5">
        <f t="shared" si="48"/>
        <v>0</v>
      </c>
      <c r="AI96" s="5">
        <f t="shared" si="49"/>
        <v>0</v>
      </c>
      <c r="AJ96" s="5">
        <f t="shared" si="50"/>
        <v>0</v>
      </c>
      <c r="AK96" s="5">
        <f t="shared" si="51"/>
        <v>0</v>
      </c>
      <c r="AL96" s="5">
        <f t="shared" si="52"/>
        <v>0</v>
      </c>
      <c r="AM96" s="5">
        <f t="shared" si="53"/>
        <v>0</v>
      </c>
      <c r="AN96" s="5">
        <f t="shared" si="54"/>
        <v>0</v>
      </c>
      <c r="AO96" s="5">
        <f t="shared" si="55"/>
        <v>0</v>
      </c>
      <c r="AP96" s="5">
        <f t="shared" si="56"/>
        <v>0</v>
      </c>
      <c r="AQ96" s="5">
        <f t="shared" si="57"/>
        <v>0</v>
      </c>
      <c r="AR96" s="5">
        <f t="shared" si="58"/>
        <v>0</v>
      </c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CA96" s="58">
        <f t="shared" si="34"/>
        <v>43745</v>
      </c>
    </row>
    <row r="97" spans="1:83" ht="15" hidden="1" outlineLevel="1" x14ac:dyDescent="0.2">
      <c r="B97" s="18">
        <f t="shared" si="36"/>
        <v>43752</v>
      </c>
      <c r="C97" s="17" t="s">
        <v>1</v>
      </c>
      <c r="D97" s="19">
        <f t="shared" si="37"/>
        <v>43758</v>
      </c>
      <c r="E97" s="20">
        <f t="shared" si="38"/>
        <v>10</v>
      </c>
      <c r="F97" s="21">
        <f t="shared" si="39"/>
        <v>2019</v>
      </c>
      <c r="G97" s="11">
        <f t="shared" si="42"/>
        <v>22</v>
      </c>
      <c r="H97" s="10">
        <f t="shared" si="42"/>
        <v>66</v>
      </c>
      <c r="I97" s="11"/>
      <c r="J97" s="11"/>
      <c r="K97" s="11"/>
      <c r="L97" s="11"/>
      <c r="M97" s="11"/>
      <c r="N97" s="11"/>
      <c r="O97" s="14"/>
      <c r="P97" s="14"/>
      <c r="Q97" s="14"/>
      <c r="R97" s="14"/>
      <c r="S97" s="14"/>
      <c r="T97" s="14"/>
      <c r="V97" s="22">
        <f t="shared" si="41"/>
        <v>3</v>
      </c>
      <c r="W97" s="22">
        <f t="shared" si="41"/>
        <v>0</v>
      </c>
      <c r="X97" s="22">
        <f t="shared" si="41"/>
        <v>0</v>
      </c>
      <c r="Y97" s="22">
        <f t="shared" si="41"/>
        <v>0</v>
      </c>
      <c r="Z97" s="22">
        <f t="shared" si="41"/>
        <v>0</v>
      </c>
      <c r="AA97" s="22">
        <f t="shared" si="41"/>
        <v>0</v>
      </c>
      <c r="AB97" s="1"/>
      <c r="AC97" s="5">
        <f t="shared" si="43"/>
        <v>33</v>
      </c>
      <c r="AD97" s="5">
        <f t="shared" si="44"/>
        <v>0</v>
      </c>
      <c r="AE97" s="5">
        <f t="shared" si="45"/>
        <v>60</v>
      </c>
      <c r="AF97" s="5">
        <f t="shared" si="46"/>
        <v>0</v>
      </c>
      <c r="AG97" s="5">
        <f t="shared" si="47"/>
        <v>0</v>
      </c>
      <c r="AH97" s="5">
        <f t="shared" si="48"/>
        <v>0</v>
      </c>
      <c r="AI97" s="5">
        <f t="shared" si="49"/>
        <v>0</v>
      </c>
      <c r="AJ97" s="5">
        <f t="shared" si="50"/>
        <v>0</v>
      </c>
      <c r="AK97" s="5">
        <f t="shared" si="51"/>
        <v>0</v>
      </c>
      <c r="AL97" s="5">
        <f t="shared" si="52"/>
        <v>0</v>
      </c>
      <c r="AM97" s="5">
        <f t="shared" si="53"/>
        <v>0</v>
      </c>
      <c r="AN97" s="5">
        <f t="shared" si="54"/>
        <v>0</v>
      </c>
      <c r="AO97" s="5">
        <f t="shared" si="55"/>
        <v>0</v>
      </c>
      <c r="AP97" s="5">
        <f t="shared" si="56"/>
        <v>0</v>
      </c>
      <c r="AQ97" s="5">
        <f t="shared" si="57"/>
        <v>0</v>
      </c>
      <c r="AR97" s="5">
        <f t="shared" si="58"/>
        <v>0</v>
      </c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CA97" s="58">
        <f t="shared" si="34"/>
        <v>43752</v>
      </c>
    </row>
    <row r="98" spans="1:83" ht="15" hidden="1" outlineLevel="1" x14ac:dyDescent="0.2">
      <c r="B98" s="18">
        <f t="shared" si="36"/>
        <v>43759</v>
      </c>
      <c r="C98" s="17" t="s">
        <v>1</v>
      </c>
      <c r="D98" s="19">
        <f t="shared" si="37"/>
        <v>43765</v>
      </c>
      <c r="E98" s="20">
        <f t="shared" si="38"/>
        <v>10</v>
      </c>
      <c r="F98" s="21">
        <f t="shared" si="39"/>
        <v>2019</v>
      </c>
      <c r="G98" s="11">
        <f t="shared" si="42"/>
        <v>22</v>
      </c>
      <c r="H98" s="10">
        <f t="shared" si="42"/>
        <v>66</v>
      </c>
      <c r="I98" s="11"/>
      <c r="J98" s="11">
        <v>22</v>
      </c>
      <c r="K98" s="11"/>
      <c r="L98" s="11"/>
      <c r="M98" s="11"/>
      <c r="N98" s="11"/>
      <c r="O98" s="14"/>
      <c r="P98" s="14">
        <v>2</v>
      </c>
      <c r="Q98" s="14"/>
      <c r="R98" s="14"/>
      <c r="S98" s="14"/>
      <c r="T98" s="14"/>
      <c r="V98" s="22">
        <f t="shared" si="41"/>
        <v>4</v>
      </c>
      <c r="W98" s="22">
        <f t="shared" si="41"/>
        <v>22</v>
      </c>
      <c r="X98" s="22">
        <f t="shared" si="41"/>
        <v>0</v>
      </c>
      <c r="Y98" s="22">
        <f t="shared" si="41"/>
        <v>0</v>
      </c>
      <c r="Z98" s="22">
        <f t="shared" si="41"/>
        <v>0</v>
      </c>
      <c r="AA98" s="22">
        <f t="shared" si="41"/>
        <v>0</v>
      </c>
      <c r="AB98" s="1"/>
      <c r="AC98" s="5">
        <f t="shared" si="43"/>
        <v>34</v>
      </c>
      <c r="AD98" s="5">
        <f t="shared" si="44"/>
        <v>22</v>
      </c>
      <c r="AE98" s="5">
        <f t="shared" si="45"/>
        <v>61</v>
      </c>
      <c r="AF98" s="5">
        <f t="shared" si="46"/>
        <v>0</v>
      </c>
      <c r="AG98" s="5">
        <f t="shared" si="47"/>
        <v>0</v>
      </c>
      <c r="AH98" s="5">
        <f t="shared" si="48"/>
        <v>0</v>
      </c>
      <c r="AI98" s="5">
        <f t="shared" si="49"/>
        <v>0</v>
      </c>
      <c r="AJ98" s="5">
        <f t="shared" si="50"/>
        <v>0</v>
      </c>
      <c r="AK98" s="5">
        <f t="shared" si="51"/>
        <v>0</v>
      </c>
      <c r="AL98" s="5">
        <f t="shared" si="52"/>
        <v>0</v>
      </c>
      <c r="AM98" s="5">
        <f t="shared" si="53"/>
        <v>0</v>
      </c>
      <c r="AN98" s="5">
        <f t="shared" si="54"/>
        <v>0</v>
      </c>
      <c r="AO98" s="5">
        <f t="shared" si="55"/>
        <v>0</v>
      </c>
      <c r="AP98" s="5">
        <f t="shared" si="56"/>
        <v>0</v>
      </c>
      <c r="AQ98" s="5">
        <f t="shared" si="57"/>
        <v>0</v>
      </c>
      <c r="AR98" s="5">
        <f t="shared" si="58"/>
        <v>0</v>
      </c>
      <c r="AS98" s="10"/>
      <c r="AT98" s="10">
        <v>2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CA98" s="58">
        <f t="shared" si="34"/>
        <v>43759</v>
      </c>
    </row>
    <row r="99" spans="1:83" ht="15" hidden="1" outlineLevel="1" x14ac:dyDescent="0.2">
      <c r="B99" s="18">
        <f t="shared" si="36"/>
        <v>43766</v>
      </c>
      <c r="C99" s="17" t="s">
        <v>1</v>
      </c>
      <c r="D99" s="19">
        <f t="shared" si="37"/>
        <v>43772</v>
      </c>
      <c r="E99" s="20">
        <f t="shared" si="38"/>
        <v>10</v>
      </c>
      <c r="F99" s="21">
        <f t="shared" si="39"/>
        <v>2019</v>
      </c>
      <c r="G99" s="11">
        <f t="shared" si="42"/>
        <v>22</v>
      </c>
      <c r="H99" s="10">
        <f t="shared" si="42"/>
        <v>66</v>
      </c>
      <c r="I99" s="11"/>
      <c r="J99" s="11"/>
      <c r="K99" s="11"/>
      <c r="L99" s="11"/>
      <c r="M99" s="11"/>
      <c r="N99" s="11"/>
      <c r="O99" s="14"/>
      <c r="P99" s="14"/>
      <c r="Q99" s="14"/>
      <c r="R99" s="14"/>
      <c r="S99" s="14"/>
      <c r="T99" s="14"/>
      <c r="V99" s="22">
        <f t="shared" si="41"/>
        <v>5</v>
      </c>
      <c r="W99" s="22">
        <f t="shared" si="41"/>
        <v>0</v>
      </c>
      <c r="X99" s="22">
        <f t="shared" si="41"/>
        <v>0</v>
      </c>
      <c r="Y99" s="22">
        <f t="shared" si="41"/>
        <v>0</v>
      </c>
      <c r="Z99" s="22">
        <f t="shared" si="41"/>
        <v>0</v>
      </c>
      <c r="AA99" s="22">
        <f t="shared" si="41"/>
        <v>0</v>
      </c>
      <c r="AB99" s="1"/>
      <c r="AC99" s="5">
        <f t="shared" si="43"/>
        <v>35</v>
      </c>
      <c r="AD99" s="5">
        <f t="shared" si="44"/>
        <v>23</v>
      </c>
      <c r="AE99" s="5">
        <f t="shared" si="45"/>
        <v>62</v>
      </c>
      <c r="AF99" s="5">
        <f t="shared" si="46"/>
        <v>0</v>
      </c>
      <c r="AG99" s="5">
        <f t="shared" si="47"/>
        <v>0</v>
      </c>
      <c r="AH99" s="5">
        <f t="shared" si="48"/>
        <v>0</v>
      </c>
      <c r="AI99" s="5">
        <f t="shared" si="49"/>
        <v>0</v>
      </c>
      <c r="AJ99" s="5">
        <f t="shared" si="50"/>
        <v>0</v>
      </c>
      <c r="AK99" s="5">
        <f t="shared" si="51"/>
        <v>0</v>
      </c>
      <c r="AL99" s="5">
        <f t="shared" si="52"/>
        <v>0</v>
      </c>
      <c r="AM99" s="5">
        <f t="shared" si="53"/>
        <v>0</v>
      </c>
      <c r="AN99" s="5">
        <f t="shared" si="54"/>
        <v>0</v>
      </c>
      <c r="AO99" s="5">
        <f t="shared" si="55"/>
        <v>0</v>
      </c>
      <c r="AP99" s="5">
        <f t="shared" si="56"/>
        <v>0</v>
      </c>
      <c r="AQ99" s="5">
        <f t="shared" si="57"/>
        <v>0</v>
      </c>
      <c r="AR99" s="5">
        <f t="shared" si="58"/>
        <v>0</v>
      </c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CA99" s="58">
        <f t="shared" si="34"/>
        <v>43766</v>
      </c>
    </row>
    <row r="100" spans="1:83" ht="15" hidden="1" outlineLevel="1" x14ac:dyDescent="0.2">
      <c r="A100" s="1"/>
      <c r="B100" s="42">
        <f t="shared" si="36"/>
        <v>43773</v>
      </c>
      <c r="C100" s="43" t="s">
        <v>1</v>
      </c>
      <c r="D100" s="44">
        <f t="shared" si="37"/>
        <v>43779</v>
      </c>
      <c r="E100" s="45">
        <f t="shared" si="38"/>
        <v>11</v>
      </c>
      <c r="F100" s="21">
        <f t="shared" si="39"/>
        <v>2019</v>
      </c>
      <c r="G100" s="11">
        <f t="shared" si="42"/>
        <v>22</v>
      </c>
      <c r="H100" s="10">
        <f t="shared" si="42"/>
        <v>66</v>
      </c>
      <c r="I100" s="11"/>
      <c r="J100" s="11"/>
      <c r="K100" s="11"/>
      <c r="L100" s="11"/>
      <c r="M100" s="11"/>
      <c r="N100" s="11"/>
      <c r="O100" s="14"/>
      <c r="P100" s="14"/>
      <c r="Q100" s="14"/>
      <c r="R100" s="14"/>
      <c r="S100" s="14"/>
      <c r="T100" s="14"/>
      <c r="U100" s="46"/>
      <c r="V100" s="22">
        <f t="shared" ref="V100:AA115" si="59">IF(I100&gt;0,I100,IF(O100=1,$B100+2,IF(O99=1,1,IF(O99=2,0,IF(V99=$G99,0,(IF(V99&gt;=1,V99+1,0)))))))</f>
        <v>6</v>
      </c>
      <c r="W100" s="22">
        <f t="shared" si="59"/>
        <v>0</v>
      </c>
      <c r="X100" s="22">
        <f t="shared" si="59"/>
        <v>0</v>
      </c>
      <c r="Y100" s="22">
        <f t="shared" si="59"/>
        <v>0</v>
      </c>
      <c r="Z100" s="22">
        <f t="shared" si="59"/>
        <v>0</v>
      </c>
      <c r="AA100" s="22">
        <f t="shared" si="59"/>
        <v>0</v>
      </c>
      <c r="AB100" s="1"/>
      <c r="AC100" s="5">
        <f t="shared" si="43"/>
        <v>36</v>
      </c>
      <c r="AD100" s="5">
        <f t="shared" si="44"/>
        <v>24</v>
      </c>
      <c r="AE100" s="5">
        <f t="shared" si="45"/>
        <v>63</v>
      </c>
      <c r="AF100" s="5">
        <f t="shared" si="46"/>
        <v>0</v>
      </c>
      <c r="AG100" s="5">
        <f t="shared" si="47"/>
        <v>0</v>
      </c>
      <c r="AH100" s="5">
        <f t="shared" si="48"/>
        <v>0</v>
      </c>
      <c r="AI100" s="5">
        <f t="shared" si="49"/>
        <v>0</v>
      </c>
      <c r="AJ100" s="5">
        <f t="shared" si="50"/>
        <v>0</v>
      </c>
      <c r="AK100" s="5">
        <f t="shared" si="51"/>
        <v>0</v>
      </c>
      <c r="AL100" s="5">
        <f t="shared" si="52"/>
        <v>0</v>
      </c>
      <c r="AM100" s="5">
        <f t="shared" si="53"/>
        <v>0</v>
      </c>
      <c r="AN100" s="5">
        <f t="shared" si="54"/>
        <v>0</v>
      </c>
      <c r="AO100" s="5">
        <f t="shared" si="55"/>
        <v>0</v>
      </c>
      <c r="AP100" s="5">
        <f t="shared" si="56"/>
        <v>0</v>
      </c>
      <c r="AQ100" s="5">
        <f t="shared" si="57"/>
        <v>0</v>
      </c>
      <c r="AR100" s="5">
        <f t="shared" si="58"/>
        <v>0</v>
      </c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CA100" s="58">
        <f t="shared" si="34"/>
        <v>43773</v>
      </c>
    </row>
    <row r="101" spans="1:83" ht="15" hidden="1" outlineLevel="1" x14ac:dyDescent="0.2">
      <c r="B101" s="18">
        <f t="shared" si="36"/>
        <v>43780</v>
      </c>
      <c r="C101" s="17" t="s">
        <v>1</v>
      </c>
      <c r="D101" s="19">
        <f t="shared" si="37"/>
        <v>43786</v>
      </c>
      <c r="E101" s="20">
        <f t="shared" si="38"/>
        <v>11</v>
      </c>
      <c r="F101" s="21">
        <f t="shared" si="39"/>
        <v>2019</v>
      </c>
      <c r="G101" s="11">
        <f t="shared" si="42"/>
        <v>22</v>
      </c>
      <c r="H101" s="10">
        <f t="shared" si="42"/>
        <v>66</v>
      </c>
      <c r="I101" s="11"/>
      <c r="J101" s="11"/>
      <c r="K101" s="11"/>
      <c r="L101" s="11"/>
      <c r="M101" s="11"/>
      <c r="N101" s="11"/>
      <c r="O101" s="14"/>
      <c r="P101" s="14"/>
      <c r="Q101" s="14"/>
      <c r="R101" s="14"/>
      <c r="S101" s="14"/>
      <c r="T101" s="14"/>
      <c r="V101" s="22">
        <f t="shared" si="59"/>
        <v>7</v>
      </c>
      <c r="W101" s="22">
        <f t="shared" si="59"/>
        <v>0</v>
      </c>
      <c r="X101" s="22">
        <f t="shared" si="59"/>
        <v>0</v>
      </c>
      <c r="Y101" s="22">
        <f t="shared" si="59"/>
        <v>0</v>
      </c>
      <c r="Z101" s="22">
        <f t="shared" si="59"/>
        <v>0</v>
      </c>
      <c r="AA101" s="22">
        <f t="shared" si="59"/>
        <v>0</v>
      </c>
      <c r="AB101" s="1"/>
      <c r="AC101" s="5">
        <f t="shared" si="43"/>
        <v>37</v>
      </c>
      <c r="AD101" s="5">
        <f t="shared" si="44"/>
        <v>25</v>
      </c>
      <c r="AE101" s="5">
        <f t="shared" si="45"/>
        <v>64</v>
      </c>
      <c r="AF101" s="5">
        <f t="shared" si="46"/>
        <v>0</v>
      </c>
      <c r="AG101" s="5">
        <f t="shared" si="47"/>
        <v>0</v>
      </c>
      <c r="AH101" s="5">
        <f t="shared" si="48"/>
        <v>0</v>
      </c>
      <c r="AI101" s="5">
        <f t="shared" si="49"/>
        <v>0</v>
      </c>
      <c r="AJ101" s="5">
        <f t="shared" si="50"/>
        <v>0</v>
      </c>
      <c r="AK101" s="5">
        <f t="shared" si="51"/>
        <v>0</v>
      </c>
      <c r="AL101" s="5">
        <f t="shared" si="52"/>
        <v>0</v>
      </c>
      <c r="AM101" s="5">
        <f t="shared" si="53"/>
        <v>0</v>
      </c>
      <c r="AN101" s="5">
        <f t="shared" si="54"/>
        <v>0</v>
      </c>
      <c r="AO101" s="5">
        <f t="shared" si="55"/>
        <v>0</v>
      </c>
      <c r="AP101" s="5">
        <f t="shared" si="56"/>
        <v>0</v>
      </c>
      <c r="AQ101" s="5">
        <f t="shared" si="57"/>
        <v>0</v>
      </c>
      <c r="AR101" s="5">
        <f t="shared" si="58"/>
        <v>0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CA101" s="58">
        <f t="shared" si="34"/>
        <v>43780</v>
      </c>
    </row>
    <row r="102" spans="1:83" ht="15" hidden="1" outlineLevel="1" x14ac:dyDescent="0.2">
      <c r="B102" s="18">
        <f t="shared" si="36"/>
        <v>43787</v>
      </c>
      <c r="C102" s="17" t="s">
        <v>1</v>
      </c>
      <c r="D102" s="19">
        <f t="shared" si="37"/>
        <v>43793</v>
      </c>
      <c r="E102" s="20">
        <f t="shared" si="38"/>
        <v>11</v>
      </c>
      <c r="F102" s="21">
        <f t="shared" si="39"/>
        <v>2019</v>
      </c>
      <c r="G102" s="11">
        <f t="shared" ref="G102:H117" si="60">G101</f>
        <v>22</v>
      </c>
      <c r="H102" s="10">
        <f t="shared" si="60"/>
        <v>66</v>
      </c>
      <c r="I102" s="11"/>
      <c r="J102" s="11"/>
      <c r="K102" s="11"/>
      <c r="L102" s="11"/>
      <c r="M102" s="11"/>
      <c r="N102" s="11"/>
      <c r="O102" s="14"/>
      <c r="P102" s="14"/>
      <c r="Q102" s="14"/>
      <c r="R102" s="14"/>
      <c r="S102" s="14"/>
      <c r="T102" s="14"/>
      <c r="V102" s="22">
        <f t="shared" si="59"/>
        <v>8</v>
      </c>
      <c r="W102" s="22">
        <f t="shared" si="59"/>
        <v>0</v>
      </c>
      <c r="X102" s="22">
        <f t="shared" si="59"/>
        <v>0</v>
      </c>
      <c r="Y102" s="22">
        <f t="shared" si="59"/>
        <v>0</v>
      </c>
      <c r="Z102" s="22">
        <f t="shared" si="59"/>
        <v>0</v>
      </c>
      <c r="AA102" s="22">
        <f t="shared" si="59"/>
        <v>0</v>
      </c>
      <c r="AB102" s="1"/>
      <c r="AC102" s="5">
        <f t="shared" si="43"/>
        <v>38</v>
      </c>
      <c r="AD102" s="5">
        <f t="shared" si="44"/>
        <v>26</v>
      </c>
      <c r="AE102" s="5">
        <f t="shared" si="45"/>
        <v>65</v>
      </c>
      <c r="AF102" s="5">
        <f t="shared" si="46"/>
        <v>0</v>
      </c>
      <c r="AG102" s="5">
        <f t="shared" si="47"/>
        <v>0</v>
      </c>
      <c r="AH102" s="5">
        <f t="shared" si="48"/>
        <v>0</v>
      </c>
      <c r="AI102" s="5">
        <f t="shared" si="49"/>
        <v>0</v>
      </c>
      <c r="AJ102" s="5">
        <f t="shared" si="50"/>
        <v>0</v>
      </c>
      <c r="AK102" s="5">
        <f t="shared" si="51"/>
        <v>0</v>
      </c>
      <c r="AL102" s="5">
        <f t="shared" si="52"/>
        <v>0</v>
      </c>
      <c r="AM102" s="5">
        <f t="shared" si="53"/>
        <v>0</v>
      </c>
      <c r="AN102" s="5">
        <f t="shared" si="54"/>
        <v>0</v>
      </c>
      <c r="AO102" s="5">
        <f t="shared" si="55"/>
        <v>0</v>
      </c>
      <c r="AP102" s="5">
        <f t="shared" si="56"/>
        <v>0</v>
      </c>
      <c r="AQ102" s="5">
        <f t="shared" si="57"/>
        <v>0</v>
      </c>
      <c r="AR102" s="5">
        <f t="shared" si="58"/>
        <v>0</v>
      </c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CA102" s="58">
        <f t="shared" si="34"/>
        <v>43787</v>
      </c>
    </row>
    <row r="103" spans="1:83" ht="15" hidden="1" outlineLevel="1" x14ac:dyDescent="0.2">
      <c r="B103" s="18">
        <f t="shared" si="36"/>
        <v>43794</v>
      </c>
      <c r="C103" s="17" t="s">
        <v>1</v>
      </c>
      <c r="D103" s="19">
        <f t="shared" si="37"/>
        <v>43800</v>
      </c>
      <c r="E103" s="20">
        <f t="shared" si="38"/>
        <v>11</v>
      </c>
      <c r="F103" s="21">
        <f t="shared" si="39"/>
        <v>2019</v>
      </c>
      <c r="G103" s="11">
        <f t="shared" si="60"/>
        <v>22</v>
      </c>
      <c r="H103" s="10">
        <f t="shared" si="60"/>
        <v>66</v>
      </c>
      <c r="I103" s="11"/>
      <c r="J103" s="11"/>
      <c r="K103" s="11"/>
      <c r="L103" s="11"/>
      <c r="M103" s="11"/>
      <c r="N103" s="11"/>
      <c r="O103" s="14"/>
      <c r="P103" s="14"/>
      <c r="Q103" s="14"/>
      <c r="R103" s="14"/>
      <c r="S103" s="14"/>
      <c r="T103" s="14"/>
      <c r="V103" s="22">
        <f t="shared" si="59"/>
        <v>9</v>
      </c>
      <c r="W103" s="22">
        <f t="shared" si="59"/>
        <v>0</v>
      </c>
      <c r="X103" s="22">
        <f t="shared" si="59"/>
        <v>0</v>
      </c>
      <c r="Y103" s="22">
        <f t="shared" si="59"/>
        <v>0</v>
      </c>
      <c r="Z103" s="22">
        <f t="shared" si="59"/>
        <v>0</v>
      </c>
      <c r="AA103" s="22">
        <f t="shared" si="59"/>
        <v>0</v>
      </c>
      <c r="AB103" s="1"/>
      <c r="AC103" s="5">
        <f t="shared" si="43"/>
        <v>39</v>
      </c>
      <c r="AD103" s="5">
        <f t="shared" si="44"/>
        <v>27</v>
      </c>
      <c r="AE103" s="5">
        <f t="shared" si="45"/>
        <v>66</v>
      </c>
      <c r="AF103" s="5">
        <f t="shared" si="46"/>
        <v>0</v>
      </c>
      <c r="AG103" s="5">
        <f t="shared" si="47"/>
        <v>0</v>
      </c>
      <c r="AH103" s="5">
        <f t="shared" si="48"/>
        <v>0</v>
      </c>
      <c r="AI103" s="5">
        <f t="shared" si="49"/>
        <v>0</v>
      </c>
      <c r="AJ103" s="5">
        <f t="shared" si="50"/>
        <v>0</v>
      </c>
      <c r="AK103" s="5">
        <f t="shared" si="51"/>
        <v>0</v>
      </c>
      <c r="AL103" s="5">
        <f t="shared" si="52"/>
        <v>0</v>
      </c>
      <c r="AM103" s="5">
        <f t="shared" si="53"/>
        <v>0</v>
      </c>
      <c r="AN103" s="5">
        <f t="shared" si="54"/>
        <v>0</v>
      </c>
      <c r="AO103" s="5">
        <f t="shared" si="55"/>
        <v>0</v>
      </c>
      <c r="AP103" s="5">
        <f t="shared" si="56"/>
        <v>0</v>
      </c>
      <c r="AQ103" s="5">
        <f t="shared" si="57"/>
        <v>0</v>
      </c>
      <c r="AR103" s="5">
        <f t="shared" si="58"/>
        <v>0</v>
      </c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CA103" s="58">
        <f t="shared" si="34"/>
        <v>43794</v>
      </c>
    </row>
    <row r="104" spans="1:83" ht="15" hidden="1" outlineLevel="1" x14ac:dyDescent="0.2">
      <c r="B104" s="18">
        <f t="shared" si="36"/>
        <v>43801</v>
      </c>
      <c r="C104" s="17" t="s">
        <v>1</v>
      </c>
      <c r="D104" s="19">
        <f t="shared" si="37"/>
        <v>43807</v>
      </c>
      <c r="E104" s="20">
        <f t="shared" si="38"/>
        <v>12</v>
      </c>
      <c r="F104" s="21">
        <f t="shared" si="39"/>
        <v>2019</v>
      </c>
      <c r="G104" s="11">
        <f t="shared" si="60"/>
        <v>22</v>
      </c>
      <c r="H104" s="10">
        <f t="shared" si="60"/>
        <v>66</v>
      </c>
      <c r="I104" s="11"/>
      <c r="J104" s="11"/>
      <c r="K104" s="11"/>
      <c r="L104" s="11"/>
      <c r="M104" s="11"/>
      <c r="N104" s="11"/>
      <c r="O104" s="14"/>
      <c r="P104" s="14"/>
      <c r="Q104" s="14"/>
      <c r="R104" s="14"/>
      <c r="S104" s="14"/>
      <c r="T104" s="14"/>
      <c r="V104" s="22">
        <f t="shared" si="59"/>
        <v>10</v>
      </c>
      <c r="W104" s="22">
        <f t="shared" si="59"/>
        <v>0</v>
      </c>
      <c r="X104" s="22">
        <f t="shared" si="59"/>
        <v>0</v>
      </c>
      <c r="Y104" s="22">
        <f t="shared" si="59"/>
        <v>0</v>
      </c>
      <c r="Z104" s="22">
        <f t="shared" si="59"/>
        <v>0</v>
      </c>
      <c r="AA104" s="22">
        <f t="shared" si="59"/>
        <v>0</v>
      </c>
      <c r="AB104" s="1"/>
      <c r="AC104" s="5">
        <f t="shared" si="43"/>
        <v>40</v>
      </c>
      <c r="AD104" s="5">
        <f t="shared" si="44"/>
        <v>28</v>
      </c>
      <c r="AE104" s="5">
        <f t="shared" si="45"/>
        <v>0</v>
      </c>
      <c r="AF104" s="5">
        <f t="shared" si="46"/>
        <v>0</v>
      </c>
      <c r="AG104" s="5">
        <f t="shared" si="47"/>
        <v>0</v>
      </c>
      <c r="AH104" s="5">
        <f t="shared" si="48"/>
        <v>0</v>
      </c>
      <c r="AI104" s="5">
        <f t="shared" si="49"/>
        <v>0</v>
      </c>
      <c r="AJ104" s="5">
        <f t="shared" si="50"/>
        <v>0</v>
      </c>
      <c r="AK104" s="5">
        <f t="shared" si="51"/>
        <v>0</v>
      </c>
      <c r="AL104" s="5">
        <f t="shared" si="52"/>
        <v>0</v>
      </c>
      <c r="AM104" s="5">
        <f t="shared" si="53"/>
        <v>0</v>
      </c>
      <c r="AN104" s="5">
        <f t="shared" si="54"/>
        <v>0</v>
      </c>
      <c r="AO104" s="5">
        <f t="shared" si="55"/>
        <v>0</v>
      </c>
      <c r="AP104" s="5">
        <f t="shared" si="56"/>
        <v>0</v>
      </c>
      <c r="AQ104" s="5">
        <f t="shared" si="57"/>
        <v>0</v>
      </c>
      <c r="AR104" s="5">
        <f t="shared" si="58"/>
        <v>0</v>
      </c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CA104" s="58">
        <f t="shared" si="34"/>
        <v>43801</v>
      </c>
    </row>
    <row r="105" spans="1:83" ht="15" hidden="1" outlineLevel="1" x14ac:dyDescent="0.2">
      <c r="B105" s="18">
        <f t="shared" si="36"/>
        <v>43808</v>
      </c>
      <c r="C105" s="17" t="s">
        <v>1</v>
      </c>
      <c r="D105" s="19">
        <f t="shared" si="37"/>
        <v>43814</v>
      </c>
      <c r="E105" s="20">
        <f t="shared" si="38"/>
        <v>12</v>
      </c>
      <c r="F105" s="21">
        <f t="shared" si="39"/>
        <v>2019</v>
      </c>
      <c r="G105" s="11">
        <f t="shared" si="60"/>
        <v>22</v>
      </c>
      <c r="H105" s="10">
        <f t="shared" si="60"/>
        <v>66</v>
      </c>
      <c r="I105" s="11"/>
      <c r="J105" s="11"/>
      <c r="K105" s="11"/>
      <c r="L105" s="11"/>
      <c r="M105" s="11"/>
      <c r="N105" s="11"/>
      <c r="O105" s="14"/>
      <c r="P105" s="14"/>
      <c r="Q105" s="14"/>
      <c r="R105" s="14"/>
      <c r="S105" s="14"/>
      <c r="T105" s="14"/>
      <c r="V105" s="22">
        <f t="shared" si="59"/>
        <v>11</v>
      </c>
      <c r="W105" s="22">
        <f t="shared" si="59"/>
        <v>0</v>
      </c>
      <c r="X105" s="22">
        <f t="shared" si="59"/>
        <v>0</v>
      </c>
      <c r="Y105" s="22">
        <f t="shared" si="59"/>
        <v>0</v>
      </c>
      <c r="Z105" s="22">
        <f t="shared" si="59"/>
        <v>0</v>
      </c>
      <c r="AA105" s="22">
        <f t="shared" si="59"/>
        <v>0</v>
      </c>
      <c r="AB105" s="1"/>
      <c r="AC105" s="5">
        <f t="shared" si="43"/>
        <v>41</v>
      </c>
      <c r="AD105" s="5">
        <f t="shared" si="44"/>
        <v>29</v>
      </c>
      <c r="AE105" s="5">
        <f t="shared" si="45"/>
        <v>0</v>
      </c>
      <c r="AF105" s="5">
        <f t="shared" si="46"/>
        <v>0</v>
      </c>
      <c r="AG105" s="5">
        <f t="shared" si="47"/>
        <v>0</v>
      </c>
      <c r="AH105" s="5">
        <f t="shared" si="48"/>
        <v>0</v>
      </c>
      <c r="AI105" s="5">
        <f t="shared" si="49"/>
        <v>0</v>
      </c>
      <c r="AJ105" s="5">
        <f t="shared" si="50"/>
        <v>0</v>
      </c>
      <c r="AK105" s="5">
        <f t="shared" si="51"/>
        <v>0</v>
      </c>
      <c r="AL105" s="5">
        <f t="shared" si="52"/>
        <v>0</v>
      </c>
      <c r="AM105" s="5">
        <f t="shared" si="53"/>
        <v>0</v>
      </c>
      <c r="AN105" s="5">
        <f t="shared" si="54"/>
        <v>0</v>
      </c>
      <c r="AO105" s="5">
        <f t="shared" si="55"/>
        <v>0</v>
      </c>
      <c r="AP105" s="5">
        <f t="shared" si="56"/>
        <v>0</v>
      </c>
      <c r="AQ105" s="5">
        <f t="shared" si="57"/>
        <v>0</v>
      </c>
      <c r="AR105" s="5">
        <f t="shared" si="58"/>
        <v>0</v>
      </c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CA105" s="58">
        <f t="shared" si="34"/>
        <v>43808</v>
      </c>
    </row>
    <row r="106" spans="1:83" ht="15" hidden="1" outlineLevel="1" x14ac:dyDescent="0.2">
      <c r="B106" s="18">
        <f t="shared" si="36"/>
        <v>43815</v>
      </c>
      <c r="C106" s="17" t="s">
        <v>1</v>
      </c>
      <c r="D106" s="19">
        <f t="shared" si="37"/>
        <v>43821</v>
      </c>
      <c r="E106" s="20">
        <f t="shared" si="38"/>
        <v>12</v>
      </c>
      <c r="F106" s="21">
        <f t="shared" si="39"/>
        <v>2019</v>
      </c>
      <c r="G106" s="11">
        <f t="shared" si="60"/>
        <v>22</v>
      </c>
      <c r="H106" s="10">
        <f t="shared" si="60"/>
        <v>66</v>
      </c>
      <c r="I106" s="11"/>
      <c r="J106" s="11"/>
      <c r="K106" s="11"/>
      <c r="L106" s="11"/>
      <c r="M106" s="11"/>
      <c r="N106" s="11"/>
      <c r="O106" s="14"/>
      <c r="P106" s="14"/>
      <c r="Q106" s="14"/>
      <c r="R106" s="14"/>
      <c r="S106" s="14"/>
      <c r="T106" s="14"/>
      <c r="V106" s="22">
        <f t="shared" si="59"/>
        <v>12</v>
      </c>
      <c r="W106" s="22">
        <f t="shared" si="59"/>
        <v>0</v>
      </c>
      <c r="X106" s="22">
        <f t="shared" si="59"/>
        <v>0</v>
      </c>
      <c r="Y106" s="22">
        <f t="shared" si="59"/>
        <v>0</v>
      </c>
      <c r="Z106" s="22">
        <f t="shared" si="59"/>
        <v>0</v>
      </c>
      <c r="AA106" s="22">
        <f t="shared" si="59"/>
        <v>0</v>
      </c>
      <c r="AB106" s="1"/>
      <c r="AC106" s="5">
        <f t="shared" si="43"/>
        <v>42</v>
      </c>
      <c r="AD106" s="5">
        <f t="shared" si="44"/>
        <v>30</v>
      </c>
      <c r="AE106" s="5">
        <f t="shared" si="45"/>
        <v>0</v>
      </c>
      <c r="AF106" s="5">
        <f t="shared" si="46"/>
        <v>0</v>
      </c>
      <c r="AG106" s="5">
        <f t="shared" si="47"/>
        <v>0</v>
      </c>
      <c r="AH106" s="5">
        <f t="shared" si="48"/>
        <v>0</v>
      </c>
      <c r="AI106" s="5">
        <f t="shared" si="49"/>
        <v>0</v>
      </c>
      <c r="AJ106" s="5">
        <f t="shared" si="50"/>
        <v>0</v>
      </c>
      <c r="AK106" s="5">
        <f t="shared" si="51"/>
        <v>0</v>
      </c>
      <c r="AL106" s="5">
        <f t="shared" si="52"/>
        <v>0</v>
      </c>
      <c r="AM106" s="5">
        <f t="shared" si="53"/>
        <v>0</v>
      </c>
      <c r="AN106" s="5">
        <f t="shared" si="54"/>
        <v>0</v>
      </c>
      <c r="AO106" s="5">
        <f t="shared" si="55"/>
        <v>0</v>
      </c>
      <c r="AP106" s="5">
        <f t="shared" si="56"/>
        <v>0</v>
      </c>
      <c r="AQ106" s="5">
        <f t="shared" si="57"/>
        <v>0</v>
      </c>
      <c r="AR106" s="5">
        <f t="shared" si="58"/>
        <v>0</v>
      </c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CA106" s="58">
        <f t="shared" si="34"/>
        <v>43815</v>
      </c>
    </row>
    <row r="107" spans="1:83" ht="15" collapsed="1" x14ac:dyDescent="0.2">
      <c r="B107" s="18">
        <f t="shared" si="36"/>
        <v>43822</v>
      </c>
      <c r="C107" s="17" t="s">
        <v>1</v>
      </c>
      <c r="D107" s="19">
        <f t="shared" si="37"/>
        <v>43828</v>
      </c>
      <c r="E107" s="20">
        <f t="shared" si="38"/>
        <v>12</v>
      </c>
      <c r="F107" s="21">
        <f t="shared" si="39"/>
        <v>2019</v>
      </c>
      <c r="G107" s="11">
        <f t="shared" si="60"/>
        <v>22</v>
      </c>
      <c r="H107" s="10">
        <f t="shared" si="60"/>
        <v>66</v>
      </c>
      <c r="I107" s="11"/>
      <c r="J107" s="11"/>
      <c r="K107" s="11"/>
      <c r="L107" s="11"/>
      <c r="M107" s="11"/>
      <c r="N107" s="11"/>
      <c r="O107" s="14"/>
      <c r="P107" s="14"/>
      <c r="Q107" s="14"/>
      <c r="R107" s="14"/>
      <c r="S107" s="14"/>
      <c r="T107" s="14"/>
      <c r="V107" s="22">
        <f t="shared" si="59"/>
        <v>13</v>
      </c>
      <c r="W107" s="22">
        <f t="shared" si="59"/>
        <v>0</v>
      </c>
      <c r="X107" s="22">
        <f t="shared" si="59"/>
        <v>0</v>
      </c>
      <c r="Y107" s="22">
        <f t="shared" si="59"/>
        <v>0</v>
      </c>
      <c r="Z107" s="22">
        <f t="shared" si="59"/>
        <v>0</v>
      </c>
      <c r="AA107" s="22">
        <f t="shared" si="59"/>
        <v>0</v>
      </c>
      <c r="AB107" s="1"/>
      <c r="AC107" s="5">
        <f t="shared" si="43"/>
        <v>43</v>
      </c>
      <c r="AD107" s="5">
        <f t="shared" si="44"/>
        <v>31</v>
      </c>
      <c r="AE107" s="5">
        <f t="shared" si="45"/>
        <v>0</v>
      </c>
      <c r="AF107" s="5">
        <f t="shared" si="46"/>
        <v>0</v>
      </c>
      <c r="AG107" s="5">
        <f t="shared" si="47"/>
        <v>0</v>
      </c>
      <c r="AH107" s="5">
        <f t="shared" si="48"/>
        <v>0</v>
      </c>
      <c r="AI107" s="5">
        <f t="shared" si="49"/>
        <v>0</v>
      </c>
      <c r="AJ107" s="5">
        <f t="shared" si="50"/>
        <v>0</v>
      </c>
      <c r="AK107" s="5">
        <f t="shared" si="51"/>
        <v>0</v>
      </c>
      <c r="AL107" s="5">
        <f t="shared" si="52"/>
        <v>0</v>
      </c>
      <c r="AM107" s="5">
        <f t="shared" si="53"/>
        <v>0</v>
      </c>
      <c r="AN107" s="5">
        <f t="shared" si="54"/>
        <v>0</v>
      </c>
      <c r="AO107" s="5">
        <f t="shared" si="55"/>
        <v>0</v>
      </c>
      <c r="AP107" s="5">
        <f t="shared" si="56"/>
        <v>0</v>
      </c>
      <c r="AQ107" s="5">
        <f t="shared" si="57"/>
        <v>0</v>
      </c>
      <c r="AR107" s="5">
        <f t="shared" si="58"/>
        <v>0</v>
      </c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M107" s="40">
        <f>IF(OR(V106=4,V106=8,V106=12,V106=16,V106=20),$CA$1,0)</f>
        <v>161491.14583333334</v>
      </c>
      <c r="BN107" s="40">
        <f>IF(OR(W106=4,W106=8,W106=12,W106=16,W106=20),$CA$1,0)</f>
        <v>0</v>
      </c>
      <c r="BO107" s="40">
        <f>IF(OR(X106=4,X106=8,X106=12,X106=16,X106=20),$CA$1,0)</f>
        <v>0</v>
      </c>
      <c r="BP107" s="40">
        <f>IF(OR(Y106=4,Y106=8,Y106=12,Y106=16,Y106=20),$CA$1,0)</f>
        <v>0</v>
      </c>
      <c r="BQ107" s="40">
        <f>IF(OR(Z106=4,Z106=8,Z106=12,Z106=16,Z106=20),$CA$1,0)</f>
        <v>0</v>
      </c>
      <c r="BR107" s="40">
        <f>IF(OR(AA106=4,AA106=8,AA106=12,AA106=16,AA106=20),$CA$1,0)</f>
        <v>0</v>
      </c>
      <c r="BS107" s="40">
        <f>IF(V103=20,$CB$1,0)</f>
        <v>0</v>
      </c>
      <c r="BT107" s="40">
        <f>IF(W103=20,$CB$1,0)</f>
        <v>0</v>
      </c>
      <c r="BU107" s="40">
        <f>IF(X103=20,$CB$1,0)</f>
        <v>0</v>
      </c>
      <c r="BV107" s="40">
        <f>IF(Y103=20,$CB$1,0)</f>
        <v>0</v>
      </c>
      <c r="BW107" s="40">
        <f>IF(Z103=20,$CB$1,0)</f>
        <v>0</v>
      </c>
      <c r="BX107" s="40">
        <f>IF(AA103=20,$CB$1,0)</f>
        <v>0</v>
      </c>
      <c r="BY107" s="41">
        <f>SUM(BM107:BX107)</f>
        <v>161491.14583333334</v>
      </c>
      <c r="BZ107" s="41">
        <f t="shared" ref="BZ107:BZ138" si="61">IF(E107=E106,BY107+BZ106,BY107)</f>
        <v>161491.14583333334</v>
      </c>
      <c r="CA107" s="58">
        <f t="shared" ref="CA107:CA170" si="62">B107</f>
        <v>43822</v>
      </c>
      <c r="CB107" s="47">
        <f t="shared" ref="CB107:CB138" si="63">IF(E107=E108,0,BZ107)</f>
        <v>0</v>
      </c>
    </row>
    <row r="108" spans="1:83" ht="15" hidden="1" outlineLevel="1" x14ac:dyDescent="0.2">
      <c r="B108" s="18">
        <f t="shared" si="36"/>
        <v>43829</v>
      </c>
      <c r="C108" s="17" t="s">
        <v>1</v>
      </c>
      <c r="D108" s="19">
        <f t="shared" si="37"/>
        <v>43835</v>
      </c>
      <c r="E108" s="20">
        <f t="shared" si="38"/>
        <v>12</v>
      </c>
      <c r="F108" s="21">
        <f t="shared" si="39"/>
        <v>2020</v>
      </c>
      <c r="G108" s="11">
        <f t="shared" si="60"/>
        <v>22</v>
      </c>
      <c r="H108" s="10">
        <f t="shared" si="60"/>
        <v>66</v>
      </c>
      <c r="I108" s="11"/>
      <c r="J108" s="11"/>
      <c r="K108" s="11"/>
      <c r="L108" s="11"/>
      <c r="M108" s="11"/>
      <c r="N108" s="11"/>
      <c r="O108" s="14"/>
      <c r="P108" s="14"/>
      <c r="Q108" s="14"/>
      <c r="R108" s="14"/>
      <c r="S108" s="14"/>
      <c r="T108" s="14"/>
      <c r="V108" s="22">
        <f t="shared" si="59"/>
        <v>14</v>
      </c>
      <c r="W108" s="22">
        <f t="shared" si="59"/>
        <v>0</v>
      </c>
      <c r="X108" s="22">
        <f t="shared" si="59"/>
        <v>0</v>
      </c>
      <c r="Y108" s="22">
        <f t="shared" si="59"/>
        <v>0</v>
      </c>
      <c r="Z108" s="22">
        <f t="shared" si="59"/>
        <v>0</v>
      </c>
      <c r="AA108" s="22">
        <f t="shared" si="59"/>
        <v>0</v>
      </c>
      <c r="AB108" s="1"/>
      <c r="AC108" s="5">
        <f t="shared" si="43"/>
        <v>44</v>
      </c>
      <c r="AD108" s="5">
        <f t="shared" si="44"/>
        <v>32</v>
      </c>
      <c r="AE108" s="5">
        <f t="shared" si="45"/>
        <v>0</v>
      </c>
      <c r="AF108" s="5">
        <f t="shared" si="46"/>
        <v>0</v>
      </c>
      <c r="AG108" s="5">
        <f t="shared" si="47"/>
        <v>0</v>
      </c>
      <c r="AH108" s="5">
        <f t="shared" si="48"/>
        <v>0</v>
      </c>
      <c r="AI108" s="5">
        <f t="shared" si="49"/>
        <v>0</v>
      </c>
      <c r="AJ108" s="5">
        <f t="shared" si="50"/>
        <v>0</v>
      </c>
      <c r="AK108" s="5">
        <f t="shared" si="51"/>
        <v>0</v>
      </c>
      <c r="AL108" s="5">
        <f t="shared" si="52"/>
        <v>0</v>
      </c>
      <c r="AM108" s="5">
        <f t="shared" si="53"/>
        <v>0</v>
      </c>
      <c r="AN108" s="5">
        <f t="shared" si="54"/>
        <v>0</v>
      </c>
      <c r="AO108" s="5">
        <f t="shared" si="55"/>
        <v>0</v>
      </c>
      <c r="AP108" s="5">
        <f t="shared" si="56"/>
        <v>0</v>
      </c>
      <c r="AQ108" s="5">
        <f t="shared" si="57"/>
        <v>0</v>
      </c>
      <c r="AR108" s="5">
        <f t="shared" si="58"/>
        <v>0</v>
      </c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M108" s="40">
        <f>IF(OR(V107=4,V107=8,V107=12,V107=16,V107=20),$CA$1,0)</f>
        <v>0</v>
      </c>
      <c r="BN108" s="40">
        <f>IF(OR(W107=4,W107=8,W107=12,W107=16,W107=20),$CA$1,0)</f>
        <v>0</v>
      </c>
      <c r="BO108" s="40">
        <f>IF(OR(X107=4,X107=8,X107=12,X107=16,X107=20),$CA$1,0)</f>
        <v>0</v>
      </c>
      <c r="BP108" s="40">
        <f>IF(OR(Y107=4,Y107=8,Y107=12,Y107=16,Y107=20),$CA$1,0)</f>
        <v>0</v>
      </c>
      <c r="BQ108" s="40">
        <f>IF(OR(Z107=4,Z107=8,Z107=12,Z107=16,Z107=20),$CA$1,0)</f>
        <v>0</v>
      </c>
      <c r="BR108" s="40">
        <f>IF(OR(AA107=4,AA107=8,AA107=12,AA107=16,AA107=20),$CA$1,0)</f>
        <v>0</v>
      </c>
      <c r="BS108" s="40">
        <f>IF(V104=20,$CB$1,0)</f>
        <v>0</v>
      </c>
      <c r="BT108" s="40">
        <f>IF(W104=20,$CB$1,0)</f>
        <v>0</v>
      </c>
      <c r="BU108" s="40">
        <f>IF(X104=20,$CB$1,0)</f>
        <v>0</v>
      </c>
      <c r="BV108" s="40">
        <f>IF(Y104=20,$CB$1,0)</f>
        <v>0</v>
      </c>
      <c r="BW108" s="40">
        <f>IF(Z104=20,$CB$1,0)</f>
        <v>0</v>
      </c>
      <c r="BX108" s="40">
        <f>IF(AA104=20,$CB$1,0)</f>
        <v>0</v>
      </c>
      <c r="BY108" s="41">
        <f t="shared" ref="BY108:BY158" si="64">SUM(BM108:BX108)</f>
        <v>0</v>
      </c>
      <c r="BZ108" s="41">
        <f t="shared" si="61"/>
        <v>161491.14583333334</v>
      </c>
      <c r="CA108" s="58">
        <f t="shared" si="62"/>
        <v>43829</v>
      </c>
      <c r="CB108" s="47">
        <f t="shared" si="63"/>
        <v>161491.14583333334</v>
      </c>
    </row>
    <row r="109" spans="1:83" ht="15" hidden="1" outlineLevel="1" x14ac:dyDescent="0.2">
      <c r="B109" s="18">
        <f t="shared" si="36"/>
        <v>43836</v>
      </c>
      <c r="C109" s="17" t="s">
        <v>1</v>
      </c>
      <c r="D109" s="19">
        <f t="shared" si="37"/>
        <v>43842</v>
      </c>
      <c r="E109" s="20">
        <f t="shared" si="38"/>
        <v>1</v>
      </c>
      <c r="F109" s="21">
        <f t="shared" si="39"/>
        <v>2020</v>
      </c>
      <c r="G109" s="11">
        <f t="shared" si="60"/>
        <v>22</v>
      </c>
      <c r="H109" s="10">
        <f t="shared" si="60"/>
        <v>66</v>
      </c>
      <c r="I109" s="11"/>
      <c r="J109" s="11"/>
      <c r="K109" s="11"/>
      <c r="L109" s="11"/>
      <c r="M109" s="11"/>
      <c r="N109" s="11"/>
      <c r="O109" s="14"/>
      <c r="P109" s="14"/>
      <c r="Q109" s="14"/>
      <c r="R109" s="14"/>
      <c r="S109" s="14"/>
      <c r="T109" s="14"/>
      <c r="V109" s="22">
        <f t="shared" si="59"/>
        <v>15</v>
      </c>
      <c r="W109" s="22">
        <f t="shared" si="59"/>
        <v>0</v>
      </c>
      <c r="X109" s="22">
        <f t="shared" si="59"/>
        <v>0</v>
      </c>
      <c r="Y109" s="22">
        <f t="shared" si="59"/>
        <v>0</v>
      </c>
      <c r="Z109" s="22">
        <f t="shared" si="59"/>
        <v>0</v>
      </c>
      <c r="AA109" s="22">
        <f t="shared" si="59"/>
        <v>0</v>
      </c>
      <c r="AB109" s="1"/>
      <c r="AC109" s="5">
        <f t="shared" si="43"/>
        <v>45</v>
      </c>
      <c r="AD109" s="5">
        <f t="shared" si="44"/>
        <v>33</v>
      </c>
      <c r="AE109" s="5">
        <f t="shared" si="45"/>
        <v>0</v>
      </c>
      <c r="AF109" s="5">
        <f t="shared" si="46"/>
        <v>0</v>
      </c>
      <c r="AG109" s="5">
        <f t="shared" si="47"/>
        <v>0</v>
      </c>
      <c r="AH109" s="5">
        <f t="shared" si="48"/>
        <v>0</v>
      </c>
      <c r="AI109" s="5">
        <f t="shared" si="49"/>
        <v>0</v>
      </c>
      <c r="AJ109" s="5">
        <f t="shared" si="50"/>
        <v>0</v>
      </c>
      <c r="AK109" s="5">
        <f t="shared" si="51"/>
        <v>0</v>
      </c>
      <c r="AL109" s="5">
        <f t="shared" si="52"/>
        <v>0</v>
      </c>
      <c r="AM109" s="5">
        <f t="shared" si="53"/>
        <v>0</v>
      </c>
      <c r="AN109" s="5">
        <f t="shared" si="54"/>
        <v>0</v>
      </c>
      <c r="AO109" s="5">
        <f t="shared" si="55"/>
        <v>0</v>
      </c>
      <c r="AP109" s="5">
        <f t="shared" si="56"/>
        <v>0</v>
      </c>
      <c r="AQ109" s="5">
        <f t="shared" si="57"/>
        <v>0</v>
      </c>
      <c r="AR109" s="5">
        <f t="shared" si="58"/>
        <v>0</v>
      </c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M109" s="40">
        <f>IF(OR(V108=4,V108=8,V108=12,V108=16,V108=20),$CA$1,0)</f>
        <v>0</v>
      </c>
      <c r="BN109" s="40">
        <f>IF(OR(W108=4,W108=8,W108=12,W108=16,W108=20),$CA$1,0)</f>
        <v>0</v>
      </c>
      <c r="BO109" s="40">
        <f>IF(OR(X108=4,X108=8,X108=12,X108=16,X108=20),$CA$1,0)</f>
        <v>0</v>
      </c>
      <c r="BP109" s="40">
        <f>IF(OR(Y108=4,Y108=8,Y108=12,Y108=16,Y108=20),$CA$1,0)</f>
        <v>0</v>
      </c>
      <c r="BQ109" s="40">
        <f>IF(OR(Z108=4,Z108=8,Z108=12,Z108=16,Z108=20),$CA$1,0)</f>
        <v>0</v>
      </c>
      <c r="BR109" s="40">
        <f>IF(OR(AA108=4,AA108=8,AA108=12,AA108=16,AA108=20),$CA$1,0)</f>
        <v>0</v>
      </c>
      <c r="BS109" s="40">
        <f>IF(V105=20,$CB$1,0)</f>
        <v>0</v>
      </c>
      <c r="BT109" s="40">
        <f>IF(W105=20,$CB$1,0)</f>
        <v>0</v>
      </c>
      <c r="BU109" s="40">
        <f>IF(X105=20,$CB$1,0)</f>
        <v>0</v>
      </c>
      <c r="BV109" s="40">
        <f>IF(Y105=20,$CB$1,0)</f>
        <v>0</v>
      </c>
      <c r="BW109" s="40">
        <f>IF(Z105=20,$CB$1,0)</f>
        <v>0</v>
      </c>
      <c r="BX109" s="40">
        <f>IF(AA105=20,$CB$1,0)</f>
        <v>0</v>
      </c>
      <c r="BY109" s="41">
        <f t="shared" si="64"/>
        <v>0</v>
      </c>
      <c r="BZ109" s="41">
        <f t="shared" si="61"/>
        <v>0</v>
      </c>
      <c r="CA109" s="58">
        <f>B109</f>
        <v>43836</v>
      </c>
      <c r="CB109" s="47">
        <f t="shared" si="63"/>
        <v>0</v>
      </c>
    </row>
    <row r="110" spans="1:83" ht="15" hidden="1" outlineLevel="1" x14ac:dyDescent="0.2">
      <c r="B110" s="18">
        <f t="shared" si="36"/>
        <v>43843</v>
      </c>
      <c r="C110" s="17" t="s">
        <v>1</v>
      </c>
      <c r="D110" s="19">
        <f t="shared" si="37"/>
        <v>43849</v>
      </c>
      <c r="E110" s="20">
        <f t="shared" si="38"/>
        <v>1</v>
      </c>
      <c r="F110" s="21">
        <f t="shared" si="39"/>
        <v>2020</v>
      </c>
      <c r="G110" s="11">
        <f t="shared" si="60"/>
        <v>22</v>
      </c>
      <c r="H110" s="10">
        <f t="shared" si="60"/>
        <v>66</v>
      </c>
      <c r="I110" s="11"/>
      <c r="J110" s="11"/>
      <c r="K110" s="11"/>
      <c r="L110" s="11"/>
      <c r="M110" s="11"/>
      <c r="N110" s="11"/>
      <c r="O110" s="14"/>
      <c r="P110" s="14"/>
      <c r="Q110" s="14"/>
      <c r="R110" s="14"/>
      <c r="S110" s="14"/>
      <c r="T110" s="14"/>
      <c r="V110" s="22">
        <f t="shared" si="59"/>
        <v>16</v>
      </c>
      <c r="W110" s="22">
        <f t="shared" si="59"/>
        <v>0</v>
      </c>
      <c r="X110" s="22">
        <f t="shared" si="59"/>
        <v>0</v>
      </c>
      <c r="Y110" s="22">
        <f t="shared" si="59"/>
        <v>0</v>
      </c>
      <c r="Z110" s="22">
        <f t="shared" si="59"/>
        <v>0</v>
      </c>
      <c r="AA110" s="22">
        <f t="shared" si="59"/>
        <v>0</v>
      </c>
      <c r="AB110" s="1"/>
      <c r="AC110" s="5">
        <f t="shared" si="43"/>
        <v>46</v>
      </c>
      <c r="AD110" s="5">
        <f t="shared" si="44"/>
        <v>34</v>
      </c>
      <c r="AE110" s="5">
        <f t="shared" si="45"/>
        <v>0</v>
      </c>
      <c r="AF110" s="5">
        <f t="shared" si="46"/>
        <v>0</v>
      </c>
      <c r="AG110" s="5">
        <f t="shared" si="47"/>
        <v>0</v>
      </c>
      <c r="AH110" s="5">
        <f t="shared" si="48"/>
        <v>0</v>
      </c>
      <c r="AI110" s="5">
        <f t="shared" si="49"/>
        <v>0</v>
      </c>
      <c r="AJ110" s="5">
        <f t="shared" si="50"/>
        <v>0</v>
      </c>
      <c r="AK110" s="5">
        <f t="shared" si="51"/>
        <v>0</v>
      </c>
      <c r="AL110" s="5">
        <f t="shared" si="52"/>
        <v>0</v>
      </c>
      <c r="AM110" s="5">
        <f t="shared" si="53"/>
        <v>0</v>
      </c>
      <c r="AN110" s="5">
        <f t="shared" si="54"/>
        <v>0</v>
      </c>
      <c r="AO110" s="5">
        <f t="shared" si="55"/>
        <v>0</v>
      </c>
      <c r="AP110" s="5">
        <f t="shared" si="56"/>
        <v>0</v>
      </c>
      <c r="AQ110" s="5">
        <f t="shared" si="57"/>
        <v>0</v>
      </c>
      <c r="AR110" s="5">
        <f t="shared" si="58"/>
        <v>0</v>
      </c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M110" s="40">
        <f>IF(OR(V109=4,V109=8,V109=12,V109=16,V109=20),$CA$1,0)</f>
        <v>0</v>
      </c>
      <c r="BN110" s="40">
        <f>IF(OR(W109=4,W109=8,W109=12,W109=16,W109=20),$CA$1,0)</f>
        <v>0</v>
      </c>
      <c r="BO110" s="40">
        <f>IF(OR(X109=4,X109=8,X109=12,X109=16,X109=20),$CA$1,0)</f>
        <v>0</v>
      </c>
      <c r="BP110" s="40">
        <f>IF(OR(Y109=4,Y109=8,Y109=12,Y109=16,Y109=20),$CA$1,0)</f>
        <v>0</v>
      </c>
      <c r="BQ110" s="40">
        <f>IF(OR(Z109=4,Z109=8,Z109=12,Z109=16,Z109=20),$CA$1,0)</f>
        <v>0</v>
      </c>
      <c r="BR110" s="40">
        <f>IF(OR(AA109=4,AA109=8,AA109=12,AA109=16,AA109=20),$CA$1,0)</f>
        <v>0</v>
      </c>
      <c r="BS110" s="40">
        <f>IF(V106=20,$CB$1,0)</f>
        <v>0</v>
      </c>
      <c r="BT110" s="40">
        <f>IF(W106=20,$CB$1,0)</f>
        <v>0</v>
      </c>
      <c r="BU110" s="40">
        <f>IF(X106=20,$CB$1,0)</f>
        <v>0</v>
      </c>
      <c r="BV110" s="40">
        <f>IF(Y106=20,$CB$1,0)</f>
        <v>0</v>
      </c>
      <c r="BW110" s="40">
        <f>IF(Z106=20,$CB$1,0)</f>
        <v>0</v>
      </c>
      <c r="BX110" s="40">
        <f>IF(AA106=20,$CB$1,0)</f>
        <v>0</v>
      </c>
      <c r="BY110" s="41">
        <f t="shared" si="64"/>
        <v>0</v>
      </c>
      <c r="BZ110" s="41">
        <f t="shared" si="61"/>
        <v>0</v>
      </c>
      <c r="CA110" s="58">
        <f t="shared" ref="CA110:CA173" si="65">B110</f>
        <v>43843</v>
      </c>
      <c r="CB110" s="47">
        <f t="shared" si="63"/>
        <v>0</v>
      </c>
    </row>
    <row r="111" spans="1:83" ht="15" hidden="1" outlineLevel="1" x14ac:dyDescent="0.2">
      <c r="B111" s="18">
        <f t="shared" si="36"/>
        <v>43850</v>
      </c>
      <c r="C111" s="17" t="s">
        <v>1</v>
      </c>
      <c r="D111" s="19">
        <f t="shared" si="37"/>
        <v>43856</v>
      </c>
      <c r="E111" s="20">
        <f t="shared" si="38"/>
        <v>1</v>
      </c>
      <c r="F111" s="21">
        <f t="shared" si="39"/>
        <v>2020</v>
      </c>
      <c r="G111" s="11">
        <f t="shared" si="60"/>
        <v>22</v>
      </c>
      <c r="H111" s="10">
        <f t="shared" si="60"/>
        <v>66</v>
      </c>
      <c r="I111" s="11"/>
      <c r="J111" s="11"/>
      <c r="K111" s="11"/>
      <c r="L111" s="11"/>
      <c r="M111" s="11"/>
      <c r="N111" s="11"/>
      <c r="O111" s="14"/>
      <c r="P111" s="14"/>
      <c r="Q111" s="14"/>
      <c r="R111" s="14"/>
      <c r="S111" s="14"/>
      <c r="T111" s="14"/>
      <c r="V111" s="22">
        <f t="shared" si="59"/>
        <v>17</v>
      </c>
      <c r="W111" s="22">
        <f t="shared" si="59"/>
        <v>0</v>
      </c>
      <c r="X111" s="22">
        <f t="shared" si="59"/>
        <v>0</v>
      </c>
      <c r="Y111" s="22">
        <f t="shared" si="59"/>
        <v>0</v>
      </c>
      <c r="Z111" s="22">
        <f t="shared" si="59"/>
        <v>0</v>
      </c>
      <c r="AA111" s="22">
        <f t="shared" si="59"/>
        <v>0</v>
      </c>
      <c r="AB111" s="1"/>
      <c r="AC111" s="5">
        <f t="shared" si="43"/>
        <v>47</v>
      </c>
      <c r="AD111" s="5">
        <f t="shared" si="44"/>
        <v>35</v>
      </c>
      <c r="AE111" s="5">
        <f t="shared" si="45"/>
        <v>0</v>
      </c>
      <c r="AF111" s="5">
        <f t="shared" si="46"/>
        <v>0</v>
      </c>
      <c r="AG111" s="5">
        <f t="shared" si="47"/>
        <v>0</v>
      </c>
      <c r="AH111" s="5">
        <f t="shared" si="48"/>
        <v>0</v>
      </c>
      <c r="AI111" s="5">
        <f t="shared" si="49"/>
        <v>0</v>
      </c>
      <c r="AJ111" s="5">
        <f t="shared" si="50"/>
        <v>0</v>
      </c>
      <c r="AK111" s="5">
        <f t="shared" si="51"/>
        <v>0</v>
      </c>
      <c r="AL111" s="5">
        <f t="shared" si="52"/>
        <v>0</v>
      </c>
      <c r="AM111" s="5">
        <f t="shared" si="53"/>
        <v>0</v>
      </c>
      <c r="AN111" s="5">
        <f t="shared" si="54"/>
        <v>0</v>
      </c>
      <c r="AO111" s="5">
        <f t="shared" si="55"/>
        <v>0</v>
      </c>
      <c r="AP111" s="5">
        <f t="shared" si="56"/>
        <v>0</v>
      </c>
      <c r="AQ111" s="5">
        <f t="shared" si="57"/>
        <v>0</v>
      </c>
      <c r="AR111" s="5">
        <f t="shared" si="58"/>
        <v>0</v>
      </c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M111" s="40">
        <f>IF(OR(V110=4,V110=8,V110=12,V110=16,V110=20),$CA$1,0)</f>
        <v>161491.14583333334</v>
      </c>
      <c r="BN111" s="40">
        <f>IF(OR(W110=4,W110=8,W110=12,W110=16,W110=20),$CA$1,0)</f>
        <v>0</v>
      </c>
      <c r="BO111" s="40">
        <f>IF(OR(X110=4,X110=8,X110=12,X110=16,X110=20),$CA$1,0)</f>
        <v>0</v>
      </c>
      <c r="BP111" s="40">
        <f>IF(OR(Y110=4,Y110=8,Y110=12,Y110=16,Y110=20),$CA$1,0)</f>
        <v>0</v>
      </c>
      <c r="BQ111" s="40">
        <f>IF(OR(Z110=4,Z110=8,Z110=12,Z110=16,Z110=20),$CA$1,0)</f>
        <v>0</v>
      </c>
      <c r="BR111" s="40">
        <f>IF(OR(AA110=4,AA110=8,AA110=12,AA110=16,AA110=20),$CA$1,0)</f>
        <v>0</v>
      </c>
      <c r="BS111" s="40">
        <f>IF(V107=20,$CB$1,0)</f>
        <v>0</v>
      </c>
      <c r="BT111" s="40">
        <f>IF(W107=20,$CB$1,0)</f>
        <v>0</v>
      </c>
      <c r="BU111" s="40">
        <f>IF(X107=20,$CB$1,0)</f>
        <v>0</v>
      </c>
      <c r="BV111" s="40">
        <f>IF(Y107=20,$CB$1,0)</f>
        <v>0</v>
      </c>
      <c r="BW111" s="40">
        <f>IF(Z107=20,$CB$1,0)</f>
        <v>0</v>
      </c>
      <c r="BX111" s="40">
        <f>IF(AA107=20,$CB$1,0)</f>
        <v>0</v>
      </c>
      <c r="BY111" s="41">
        <f t="shared" si="64"/>
        <v>161491.14583333334</v>
      </c>
      <c r="BZ111" s="41">
        <f t="shared" si="61"/>
        <v>161491.14583333334</v>
      </c>
      <c r="CA111" s="58">
        <f t="shared" si="65"/>
        <v>43850</v>
      </c>
      <c r="CB111" s="47">
        <f t="shared" si="63"/>
        <v>0</v>
      </c>
    </row>
    <row r="112" spans="1:83" ht="15" hidden="1" outlineLevel="1" x14ac:dyDescent="0.2">
      <c r="B112" s="18">
        <f t="shared" si="36"/>
        <v>43857</v>
      </c>
      <c r="C112" s="17" t="s">
        <v>1</v>
      </c>
      <c r="D112" s="19">
        <f t="shared" si="37"/>
        <v>43863</v>
      </c>
      <c r="E112" s="20">
        <f t="shared" si="38"/>
        <v>1</v>
      </c>
      <c r="F112" s="21">
        <f t="shared" si="39"/>
        <v>2020</v>
      </c>
      <c r="G112" s="11">
        <f t="shared" si="60"/>
        <v>22</v>
      </c>
      <c r="H112" s="10">
        <f t="shared" si="60"/>
        <v>66</v>
      </c>
      <c r="I112" s="11"/>
      <c r="J112" s="11"/>
      <c r="K112" s="11"/>
      <c r="L112" s="11"/>
      <c r="M112" s="11"/>
      <c r="N112" s="11"/>
      <c r="O112" s="14"/>
      <c r="P112" s="14"/>
      <c r="Q112" s="14"/>
      <c r="R112" s="14"/>
      <c r="S112" s="14"/>
      <c r="T112" s="14"/>
      <c r="V112" s="22">
        <f t="shared" si="59"/>
        <v>18</v>
      </c>
      <c r="W112" s="22">
        <f t="shared" si="59"/>
        <v>0</v>
      </c>
      <c r="X112" s="22">
        <f t="shared" si="59"/>
        <v>0</v>
      </c>
      <c r="Y112" s="22">
        <f t="shared" si="59"/>
        <v>0</v>
      </c>
      <c r="Z112" s="22">
        <f t="shared" si="59"/>
        <v>0</v>
      </c>
      <c r="AA112" s="22">
        <f t="shared" si="59"/>
        <v>0</v>
      </c>
      <c r="AB112" s="1"/>
      <c r="AC112" s="5">
        <f t="shared" si="43"/>
        <v>48</v>
      </c>
      <c r="AD112" s="5">
        <f t="shared" si="44"/>
        <v>36</v>
      </c>
      <c r="AE112" s="5">
        <f t="shared" si="45"/>
        <v>0</v>
      </c>
      <c r="AF112" s="5">
        <f t="shared" si="46"/>
        <v>0</v>
      </c>
      <c r="AG112" s="5">
        <f t="shared" si="47"/>
        <v>0</v>
      </c>
      <c r="AH112" s="5">
        <f t="shared" si="48"/>
        <v>0</v>
      </c>
      <c r="AI112" s="5">
        <f t="shared" si="49"/>
        <v>0</v>
      </c>
      <c r="AJ112" s="5">
        <f t="shared" si="50"/>
        <v>0</v>
      </c>
      <c r="AK112" s="5">
        <f t="shared" si="51"/>
        <v>0</v>
      </c>
      <c r="AL112" s="5">
        <f t="shared" si="52"/>
        <v>0</v>
      </c>
      <c r="AM112" s="5">
        <f t="shared" si="53"/>
        <v>0</v>
      </c>
      <c r="AN112" s="5">
        <f t="shared" si="54"/>
        <v>0</v>
      </c>
      <c r="AO112" s="5">
        <f t="shared" si="55"/>
        <v>0</v>
      </c>
      <c r="AP112" s="5">
        <f t="shared" si="56"/>
        <v>0</v>
      </c>
      <c r="AQ112" s="5">
        <f t="shared" si="57"/>
        <v>0</v>
      </c>
      <c r="AR112" s="5">
        <f t="shared" si="58"/>
        <v>0</v>
      </c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M112" s="40">
        <f>IF(OR(V111=4,V111=8,V111=12,V111=16,V111=20),$CA$1,0)</f>
        <v>0</v>
      </c>
      <c r="BN112" s="40">
        <f>IF(OR(W111=4,W111=8,W111=12,W111=16,W111=20),$CA$1,0)</f>
        <v>0</v>
      </c>
      <c r="BO112" s="40">
        <f>IF(OR(X111=4,X111=8,X111=12,X111=16,X111=20),$CA$1,0)</f>
        <v>0</v>
      </c>
      <c r="BP112" s="40">
        <f>IF(OR(Y111=4,Y111=8,Y111=12,Y111=16,Y111=20),$CA$1,0)</f>
        <v>0</v>
      </c>
      <c r="BQ112" s="40">
        <f>IF(OR(Z111=4,Z111=8,Z111=12,Z111=16,Z111=20),$CA$1,0)</f>
        <v>0</v>
      </c>
      <c r="BR112" s="40">
        <f>IF(OR(AA111=4,AA111=8,AA111=12,AA111=16,AA111=20),$CA$1,0)</f>
        <v>0</v>
      </c>
      <c r="BS112" s="40">
        <f>IF(V108=20,$CB$1,0)</f>
        <v>0</v>
      </c>
      <c r="BT112" s="40">
        <f>IF(W108=20,$CB$1,0)</f>
        <v>0</v>
      </c>
      <c r="BU112" s="40">
        <f>IF(X108=20,$CB$1,0)</f>
        <v>0</v>
      </c>
      <c r="BV112" s="40">
        <f>IF(Y108=20,$CB$1,0)</f>
        <v>0</v>
      </c>
      <c r="BW112" s="40">
        <f>IF(Z108=20,$CB$1,0)</f>
        <v>0</v>
      </c>
      <c r="BX112" s="40">
        <f>IF(AA108=20,$CB$1,0)</f>
        <v>0</v>
      </c>
      <c r="BY112" s="41">
        <f t="shared" si="64"/>
        <v>0</v>
      </c>
      <c r="BZ112" s="41">
        <f t="shared" si="61"/>
        <v>161491.14583333334</v>
      </c>
      <c r="CA112" s="58">
        <f t="shared" si="65"/>
        <v>43857</v>
      </c>
      <c r="CB112" s="47">
        <f t="shared" si="63"/>
        <v>161491.14583333334</v>
      </c>
      <c r="CD112" s="48" t="s">
        <v>9</v>
      </c>
      <c r="CE112" s="49">
        <f>CB112</f>
        <v>161491.14583333334</v>
      </c>
    </row>
    <row r="113" spans="2:83" ht="15" hidden="1" outlineLevel="1" x14ac:dyDescent="0.2">
      <c r="B113" s="18">
        <f t="shared" si="36"/>
        <v>43864</v>
      </c>
      <c r="C113" s="17" t="s">
        <v>1</v>
      </c>
      <c r="D113" s="19">
        <f t="shared" si="37"/>
        <v>43870</v>
      </c>
      <c r="E113" s="20">
        <f t="shared" si="38"/>
        <v>2</v>
      </c>
      <c r="F113" s="21">
        <f t="shared" si="39"/>
        <v>2020</v>
      </c>
      <c r="G113" s="11">
        <f t="shared" si="60"/>
        <v>22</v>
      </c>
      <c r="H113" s="10">
        <f t="shared" si="60"/>
        <v>66</v>
      </c>
      <c r="I113" s="11"/>
      <c r="J113" s="11"/>
      <c r="K113" s="11"/>
      <c r="L113" s="11"/>
      <c r="M113" s="11"/>
      <c r="N113" s="11"/>
      <c r="O113" s="14"/>
      <c r="P113" s="14"/>
      <c r="Q113" s="14"/>
      <c r="R113" s="14"/>
      <c r="S113" s="14"/>
      <c r="T113" s="14"/>
      <c r="V113" s="22">
        <f t="shared" si="59"/>
        <v>19</v>
      </c>
      <c r="W113" s="22">
        <f t="shared" si="59"/>
        <v>0</v>
      </c>
      <c r="X113" s="22">
        <f t="shared" si="59"/>
        <v>0</v>
      </c>
      <c r="Y113" s="22">
        <f t="shared" si="59"/>
        <v>0</v>
      </c>
      <c r="Z113" s="22">
        <f t="shared" si="59"/>
        <v>0</v>
      </c>
      <c r="AA113" s="22">
        <f t="shared" si="59"/>
        <v>0</v>
      </c>
      <c r="AB113" s="1"/>
      <c r="AC113" s="5">
        <f t="shared" si="43"/>
        <v>49</v>
      </c>
      <c r="AD113" s="5">
        <f t="shared" si="44"/>
        <v>37</v>
      </c>
      <c r="AE113" s="5">
        <f t="shared" si="45"/>
        <v>0</v>
      </c>
      <c r="AF113" s="5">
        <f t="shared" si="46"/>
        <v>0</v>
      </c>
      <c r="AG113" s="5">
        <f t="shared" si="47"/>
        <v>0</v>
      </c>
      <c r="AH113" s="5">
        <f t="shared" si="48"/>
        <v>0</v>
      </c>
      <c r="AI113" s="5">
        <f t="shared" si="49"/>
        <v>0</v>
      </c>
      <c r="AJ113" s="5">
        <f t="shared" si="50"/>
        <v>0</v>
      </c>
      <c r="AK113" s="5">
        <f t="shared" si="51"/>
        <v>0</v>
      </c>
      <c r="AL113" s="5">
        <f t="shared" si="52"/>
        <v>0</v>
      </c>
      <c r="AM113" s="5">
        <f t="shared" si="53"/>
        <v>0</v>
      </c>
      <c r="AN113" s="5">
        <f t="shared" si="54"/>
        <v>0</v>
      </c>
      <c r="AO113" s="5">
        <f t="shared" si="55"/>
        <v>0</v>
      </c>
      <c r="AP113" s="5">
        <f t="shared" si="56"/>
        <v>0</v>
      </c>
      <c r="AQ113" s="5">
        <f t="shared" si="57"/>
        <v>0</v>
      </c>
      <c r="AR113" s="5">
        <f t="shared" si="58"/>
        <v>0</v>
      </c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M113" s="40">
        <f>IF(OR(V112=4,V112=8,V112=12,V112=16,V112=20),$CA$1,0)</f>
        <v>0</v>
      </c>
      <c r="BN113" s="40">
        <f>IF(OR(W112=4,W112=8,W112=12,W112=16,W112=20),$CA$1,0)</f>
        <v>0</v>
      </c>
      <c r="BO113" s="40">
        <f>IF(OR(X112=4,X112=8,X112=12,X112=16,X112=20),$CA$1,0)</f>
        <v>0</v>
      </c>
      <c r="BP113" s="40">
        <f>IF(OR(Y112=4,Y112=8,Y112=12,Y112=16,Y112=20),$CA$1,0)</f>
        <v>0</v>
      </c>
      <c r="BQ113" s="40">
        <f>IF(OR(Z112=4,Z112=8,Z112=12,Z112=16,Z112=20),$CA$1,0)</f>
        <v>0</v>
      </c>
      <c r="BR113" s="40">
        <f>IF(OR(AA112=4,AA112=8,AA112=12,AA112=16,AA112=20),$CA$1,0)</f>
        <v>0</v>
      </c>
      <c r="BS113" s="40">
        <f>IF(V109=20,$CB$1,0)</f>
        <v>0</v>
      </c>
      <c r="BT113" s="40">
        <f>IF(W109=20,$CB$1,0)</f>
        <v>0</v>
      </c>
      <c r="BU113" s="40">
        <f>IF(X109=20,$CB$1,0)</f>
        <v>0</v>
      </c>
      <c r="BV113" s="40">
        <f>IF(Y109=20,$CB$1,0)</f>
        <v>0</v>
      </c>
      <c r="BW113" s="40">
        <f>IF(Z109=20,$CB$1,0)</f>
        <v>0</v>
      </c>
      <c r="BX113" s="40">
        <f>IF(AA109=20,$CB$1,0)</f>
        <v>0</v>
      </c>
      <c r="BY113" s="41">
        <f t="shared" si="64"/>
        <v>0</v>
      </c>
      <c r="BZ113" s="41">
        <f t="shared" si="61"/>
        <v>0</v>
      </c>
      <c r="CA113" s="58">
        <f t="shared" si="65"/>
        <v>43864</v>
      </c>
      <c r="CB113" s="47">
        <f t="shared" si="63"/>
        <v>0</v>
      </c>
      <c r="CD113" s="48" t="s">
        <v>10</v>
      </c>
      <c r="CE113" s="49">
        <f>CB116</f>
        <v>161491.14583333334</v>
      </c>
    </row>
    <row r="114" spans="2:83" ht="15" hidden="1" outlineLevel="1" x14ac:dyDescent="0.2">
      <c r="B114" s="18">
        <f t="shared" si="36"/>
        <v>43871</v>
      </c>
      <c r="C114" s="17" t="s">
        <v>1</v>
      </c>
      <c r="D114" s="19">
        <f t="shared" si="37"/>
        <v>43877</v>
      </c>
      <c r="E114" s="20">
        <f t="shared" si="38"/>
        <v>2</v>
      </c>
      <c r="F114" s="21">
        <f t="shared" si="39"/>
        <v>2020</v>
      </c>
      <c r="G114" s="11">
        <f t="shared" si="60"/>
        <v>22</v>
      </c>
      <c r="H114" s="10">
        <f t="shared" si="60"/>
        <v>66</v>
      </c>
      <c r="I114" s="11"/>
      <c r="J114" s="11"/>
      <c r="K114" s="11"/>
      <c r="L114" s="11"/>
      <c r="M114" s="11"/>
      <c r="N114" s="11"/>
      <c r="O114" s="14"/>
      <c r="P114" s="14"/>
      <c r="Q114" s="14"/>
      <c r="R114" s="14"/>
      <c r="S114" s="14"/>
      <c r="T114" s="14"/>
      <c r="V114" s="22">
        <f t="shared" si="59"/>
        <v>20</v>
      </c>
      <c r="W114" s="22">
        <f t="shared" si="59"/>
        <v>0</v>
      </c>
      <c r="X114" s="22">
        <f t="shared" si="59"/>
        <v>0</v>
      </c>
      <c r="Y114" s="22">
        <f t="shared" si="59"/>
        <v>0</v>
      </c>
      <c r="Z114" s="22">
        <f t="shared" si="59"/>
        <v>0</v>
      </c>
      <c r="AA114" s="22">
        <f t="shared" si="59"/>
        <v>0</v>
      </c>
      <c r="AB114" s="1"/>
      <c r="AC114" s="5">
        <f t="shared" si="43"/>
        <v>50</v>
      </c>
      <c r="AD114" s="5">
        <f t="shared" si="44"/>
        <v>38</v>
      </c>
      <c r="AE114" s="5">
        <f t="shared" si="45"/>
        <v>0</v>
      </c>
      <c r="AF114" s="5">
        <f t="shared" si="46"/>
        <v>0</v>
      </c>
      <c r="AG114" s="5">
        <f t="shared" si="47"/>
        <v>0</v>
      </c>
      <c r="AH114" s="5">
        <f t="shared" si="48"/>
        <v>0</v>
      </c>
      <c r="AI114" s="5">
        <f t="shared" si="49"/>
        <v>0</v>
      </c>
      <c r="AJ114" s="5">
        <f t="shared" si="50"/>
        <v>0</v>
      </c>
      <c r="AK114" s="5">
        <f t="shared" si="51"/>
        <v>0</v>
      </c>
      <c r="AL114" s="5">
        <f t="shared" si="52"/>
        <v>0</v>
      </c>
      <c r="AM114" s="5">
        <f t="shared" si="53"/>
        <v>0</v>
      </c>
      <c r="AN114" s="5">
        <f t="shared" si="54"/>
        <v>0</v>
      </c>
      <c r="AO114" s="5">
        <f t="shared" si="55"/>
        <v>0</v>
      </c>
      <c r="AP114" s="5">
        <f t="shared" si="56"/>
        <v>0</v>
      </c>
      <c r="AQ114" s="5">
        <f t="shared" si="57"/>
        <v>0</v>
      </c>
      <c r="AR114" s="5">
        <f t="shared" si="58"/>
        <v>0</v>
      </c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M114" s="40">
        <f>IF(OR(V113=4,V113=8,V113=12,V113=16,V113=20),$CA$1,0)</f>
        <v>0</v>
      </c>
      <c r="BN114" s="40">
        <f>IF(OR(W113=4,W113=8,W113=12,W113=16,W113=20),$CA$1,0)</f>
        <v>0</v>
      </c>
      <c r="BO114" s="40">
        <f>IF(OR(X113=4,X113=8,X113=12,X113=16,X113=20),$CA$1,0)</f>
        <v>0</v>
      </c>
      <c r="BP114" s="40">
        <f>IF(OR(Y113=4,Y113=8,Y113=12,Y113=16,Y113=20),$CA$1,0)</f>
        <v>0</v>
      </c>
      <c r="BQ114" s="40">
        <f>IF(OR(Z113=4,Z113=8,Z113=12,Z113=16,Z113=20),$CA$1,0)</f>
        <v>0</v>
      </c>
      <c r="BR114" s="40">
        <f>IF(OR(AA113=4,AA113=8,AA113=12,AA113=16,AA113=20),$CA$1,0)</f>
        <v>0</v>
      </c>
      <c r="BS114" s="40">
        <f>IF(V110=20,$CB$1,0)</f>
        <v>0</v>
      </c>
      <c r="BT114" s="40">
        <f>IF(W110=20,$CB$1,0)</f>
        <v>0</v>
      </c>
      <c r="BU114" s="40">
        <f>IF(X110=20,$CB$1,0)</f>
        <v>0</v>
      </c>
      <c r="BV114" s="40">
        <f>IF(Y110=20,$CB$1,0)</f>
        <v>0</v>
      </c>
      <c r="BW114" s="40">
        <f>IF(Z110=20,$CB$1,0)</f>
        <v>0</v>
      </c>
      <c r="BX114" s="40">
        <f>IF(AA110=20,$CB$1,0)</f>
        <v>0</v>
      </c>
      <c r="BY114" s="41">
        <f t="shared" si="64"/>
        <v>0</v>
      </c>
      <c r="BZ114" s="41">
        <f t="shared" si="61"/>
        <v>0</v>
      </c>
      <c r="CA114" s="58">
        <f t="shared" si="65"/>
        <v>43871</v>
      </c>
      <c r="CB114" s="47">
        <f t="shared" si="63"/>
        <v>0</v>
      </c>
      <c r="CD114" s="48" t="s">
        <v>11</v>
      </c>
      <c r="CE114" s="49">
        <f>CB121</f>
        <v>651525.49583333335</v>
      </c>
    </row>
    <row r="115" spans="2:83" ht="15" hidden="1" outlineLevel="1" x14ac:dyDescent="0.2">
      <c r="B115" s="18">
        <f t="shared" si="36"/>
        <v>43878</v>
      </c>
      <c r="C115" s="17" t="s">
        <v>1</v>
      </c>
      <c r="D115" s="19">
        <f t="shared" si="37"/>
        <v>43884</v>
      </c>
      <c r="E115" s="20">
        <f t="shared" si="38"/>
        <v>2</v>
      </c>
      <c r="F115" s="21">
        <f t="shared" si="39"/>
        <v>2020</v>
      </c>
      <c r="G115" s="11">
        <f t="shared" si="60"/>
        <v>22</v>
      </c>
      <c r="H115" s="10">
        <f t="shared" si="60"/>
        <v>66</v>
      </c>
      <c r="I115" s="11"/>
      <c r="J115" s="11"/>
      <c r="K115" s="11"/>
      <c r="L115" s="11"/>
      <c r="M115" s="11"/>
      <c r="N115" s="11"/>
      <c r="O115" s="14"/>
      <c r="P115" s="14"/>
      <c r="Q115" s="14"/>
      <c r="R115" s="14"/>
      <c r="S115" s="14"/>
      <c r="T115" s="14"/>
      <c r="V115" s="22">
        <f t="shared" si="59"/>
        <v>21</v>
      </c>
      <c r="W115" s="22">
        <f t="shared" si="59"/>
        <v>0</v>
      </c>
      <c r="X115" s="22">
        <f t="shared" si="59"/>
        <v>0</v>
      </c>
      <c r="Y115" s="22">
        <f t="shared" si="59"/>
        <v>0</v>
      </c>
      <c r="Z115" s="22">
        <f t="shared" si="59"/>
        <v>0</v>
      </c>
      <c r="AA115" s="22">
        <f t="shared" si="59"/>
        <v>0</v>
      </c>
      <c r="AB115" s="1"/>
      <c r="AC115" s="5">
        <f t="shared" si="43"/>
        <v>51</v>
      </c>
      <c r="AD115" s="5">
        <f t="shared" si="44"/>
        <v>39</v>
      </c>
      <c r="AE115" s="5">
        <f t="shared" si="45"/>
        <v>0</v>
      </c>
      <c r="AF115" s="5">
        <f t="shared" si="46"/>
        <v>0</v>
      </c>
      <c r="AG115" s="5">
        <f t="shared" si="47"/>
        <v>0</v>
      </c>
      <c r="AH115" s="5">
        <f t="shared" si="48"/>
        <v>0</v>
      </c>
      <c r="AI115" s="5">
        <f t="shared" si="49"/>
        <v>0</v>
      </c>
      <c r="AJ115" s="5">
        <f t="shared" si="50"/>
        <v>0</v>
      </c>
      <c r="AK115" s="5">
        <f t="shared" si="51"/>
        <v>0</v>
      </c>
      <c r="AL115" s="5">
        <f t="shared" si="52"/>
        <v>0</v>
      </c>
      <c r="AM115" s="5">
        <f t="shared" si="53"/>
        <v>0</v>
      </c>
      <c r="AN115" s="5">
        <f t="shared" si="54"/>
        <v>0</v>
      </c>
      <c r="AO115" s="5">
        <f t="shared" si="55"/>
        <v>0</v>
      </c>
      <c r="AP115" s="5">
        <f t="shared" si="56"/>
        <v>0</v>
      </c>
      <c r="AQ115" s="5">
        <f t="shared" si="57"/>
        <v>0</v>
      </c>
      <c r="AR115" s="5">
        <f t="shared" si="58"/>
        <v>0</v>
      </c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M115" s="40">
        <f>IF(OR(V114=4,V114=8,V114=12,V114=16,V114=20),$CA$1,0)</f>
        <v>161491.14583333334</v>
      </c>
      <c r="BN115" s="40">
        <f>IF(OR(W114=4,W114=8,W114=12,W114=16,W114=20),$CA$1,0)</f>
        <v>0</v>
      </c>
      <c r="BO115" s="40">
        <f>IF(OR(X114=4,X114=8,X114=12,X114=16,X114=20),$CA$1,0)</f>
        <v>0</v>
      </c>
      <c r="BP115" s="40">
        <f>IF(OR(Y114=4,Y114=8,Y114=12,Y114=16,Y114=20),$CA$1,0)</f>
        <v>0</v>
      </c>
      <c r="BQ115" s="40">
        <f>IF(OR(Z114=4,Z114=8,Z114=12,Z114=16,Z114=20),$CA$1,0)</f>
        <v>0</v>
      </c>
      <c r="BR115" s="40">
        <f>IF(OR(AA114=4,AA114=8,AA114=12,AA114=16,AA114=20),$CA$1,0)</f>
        <v>0</v>
      </c>
      <c r="BS115" s="40">
        <f>IF(V111=20,$CB$1,0)</f>
        <v>0</v>
      </c>
      <c r="BT115" s="40">
        <f>IF(W111=20,$CB$1,0)</f>
        <v>0</v>
      </c>
      <c r="BU115" s="40">
        <f>IF(X111=20,$CB$1,0)</f>
        <v>0</v>
      </c>
      <c r="BV115" s="40">
        <f>IF(Y111=20,$CB$1,0)</f>
        <v>0</v>
      </c>
      <c r="BW115" s="40">
        <f>IF(Z111=20,$CB$1,0)</f>
        <v>0</v>
      </c>
      <c r="BX115" s="40">
        <f>IF(AA111=20,$CB$1,0)</f>
        <v>0</v>
      </c>
      <c r="BY115" s="41">
        <f t="shared" si="64"/>
        <v>161491.14583333334</v>
      </c>
      <c r="BZ115" s="41">
        <f t="shared" si="61"/>
        <v>161491.14583333334</v>
      </c>
      <c r="CA115" s="58">
        <f t="shared" si="65"/>
        <v>43878</v>
      </c>
      <c r="CB115" s="47">
        <f t="shared" si="63"/>
        <v>0</v>
      </c>
      <c r="CD115" s="48" t="s">
        <v>12</v>
      </c>
      <c r="CE115" s="49">
        <f>CB125</f>
        <v>0</v>
      </c>
    </row>
    <row r="116" spans="2:83" ht="15" hidden="1" outlineLevel="1" x14ac:dyDescent="0.2">
      <c r="B116" s="18">
        <f t="shared" si="36"/>
        <v>43885</v>
      </c>
      <c r="C116" s="17" t="s">
        <v>1</v>
      </c>
      <c r="D116" s="19">
        <f t="shared" si="37"/>
        <v>43891</v>
      </c>
      <c r="E116" s="20">
        <f t="shared" si="38"/>
        <v>2</v>
      </c>
      <c r="F116" s="21">
        <f t="shared" si="39"/>
        <v>2020</v>
      </c>
      <c r="G116" s="11">
        <f t="shared" si="60"/>
        <v>22</v>
      </c>
      <c r="H116" s="10">
        <f t="shared" si="60"/>
        <v>66</v>
      </c>
      <c r="I116" s="11"/>
      <c r="J116" s="11"/>
      <c r="K116" s="11"/>
      <c r="L116" s="11"/>
      <c r="M116" s="11"/>
      <c r="N116" s="11"/>
      <c r="O116" s="14"/>
      <c r="P116" s="14"/>
      <c r="Q116" s="14"/>
      <c r="R116" s="14"/>
      <c r="S116" s="14"/>
      <c r="T116" s="14"/>
      <c r="V116" s="22">
        <f t="shared" ref="V116:AA131" si="66">IF(I116&gt;0,I116,IF(O116=1,$B116+2,IF(O115=1,1,IF(O115=2,0,IF(V115=$G115,0,(IF(V115&gt;=1,V115+1,0)))))))</f>
        <v>22</v>
      </c>
      <c r="W116" s="22">
        <f t="shared" si="66"/>
        <v>0</v>
      </c>
      <c r="X116" s="22">
        <f t="shared" si="66"/>
        <v>0</v>
      </c>
      <c r="Y116" s="22">
        <f t="shared" si="66"/>
        <v>0</v>
      </c>
      <c r="Z116" s="22">
        <f t="shared" si="66"/>
        <v>0</v>
      </c>
      <c r="AA116" s="22">
        <f t="shared" si="66"/>
        <v>0</v>
      </c>
      <c r="AB116" s="1"/>
      <c r="AC116" s="5">
        <f t="shared" si="43"/>
        <v>52</v>
      </c>
      <c r="AD116" s="5">
        <f t="shared" si="44"/>
        <v>40</v>
      </c>
      <c r="AE116" s="5">
        <f t="shared" si="45"/>
        <v>22</v>
      </c>
      <c r="AF116" s="5">
        <f t="shared" si="46"/>
        <v>0</v>
      </c>
      <c r="AG116" s="5">
        <f t="shared" si="47"/>
        <v>0</v>
      </c>
      <c r="AH116" s="5">
        <f t="shared" si="48"/>
        <v>0</v>
      </c>
      <c r="AI116" s="5">
        <f t="shared" si="49"/>
        <v>0</v>
      </c>
      <c r="AJ116" s="5">
        <f t="shared" si="50"/>
        <v>0</v>
      </c>
      <c r="AK116" s="5">
        <f t="shared" si="51"/>
        <v>0</v>
      </c>
      <c r="AL116" s="5">
        <f t="shared" si="52"/>
        <v>0</v>
      </c>
      <c r="AM116" s="5">
        <f t="shared" si="53"/>
        <v>0</v>
      </c>
      <c r="AN116" s="5">
        <f t="shared" si="54"/>
        <v>0</v>
      </c>
      <c r="AO116" s="5">
        <f t="shared" si="55"/>
        <v>0</v>
      </c>
      <c r="AP116" s="5">
        <f t="shared" si="56"/>
        <v>0</v>
      </c>
      <c r="AQ116" s="5">
        <f t="shared" si="57"/>
        <v>0</v>
      </c>
      <c r="AR116" s="5">
        <f t="shared" si="58"/>
        <v>0</v>
      </c>
      <c r="AS116" s="10"/>
      <c r="AT116" s="10"/>
      <c r="AU116" s="10">
        <v>1</v>
      </c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M116" s="40">
        <f>IF(OR(V115=4,V115=8,V115=12,V115=16,V115=20),$CA$1,0)</f>
        <v>0</v>
      </c>
      <c r="BN116" s="40">
        <f>IF(OR(W115=4,W115=8,W115=12,W115=16,W115=20),$CA$1,0)</f>
        <v>0</v>
      </c>
      <c r="BO116" s="40">
        <f>IF(OR(X115=4,X115=8,X115=12,X115=16,X115=20),$CA$1,0)</f>
        <v>0</v>
      </c>
      <c r="BP116" s="40">
        <f>IF(OR(Y115=4,Y115=8,Y115=12,Y115=16,Y115=20),$CA$1,0)</f>
        <v>0</v>
      </c>
      <c r="BQ116" s="40">
        <f>IF(OR(Z115=4,Z115=8,Z115=12,Z115=16,Z115=20),$CA$1,0)</f>
        <v>0</v>
      </c>
      <c r="BR116" s="40">
        <f>IF(OR(AA115=4,AA115=8,AA115=12,AA115=16,AA115=20),$CA$1,0)</f>
        <v>0</v>
      </c>
      <c r="BS116" s="40">
        <f>IF(V112=20,$CB$1,0)</f>
        <v>0</v>
      </c>
      <c r="BT116" s="40">
        <f>IF(W112=20,$CB$1,0)</f>
        <v>0</v>
      </c>
      <c r="BU116" s="40">
        <f>IF(X112=20,$CB$1,0)</f>
        <v>0</v>
      </c>
      <c r="BV116" s="40">
        <f>IF(Y112=20,$CB$1,0)</f>
        <v>0</v>
      </c>
      <c r="BW116" s="40">
        <f>IF(Z112=20,$CB$1,0)</f>
        <v>0</v>
      </c>
      <c r="BX116" s="40">
        <f>IF(AA112=20,$CB$1,0)</f>
        <v>0</v>
      </c>
      <c r="BY116" s="41">
        <f t="shared" si="64"/>
        <v>0</v>
      </c>
      <c r="BZ116" s="41">
        <f t="shared" si="61"/>
        <v>161491.14583333334</v>
      </c>
      <c r="CA116" s="58">
        <f t="shared" si="65"/>
        <v>43885</v>
      </c>
      <c r="CB116" s="47">
        <f t="shared" si="63"/>
        <v>161491.14583333334</v>
      </c>
      <c r="CD116" s="48" t="s">
        <v>13</v>
      </c>
      <c r="CE116" s="49">
        <f>CB129</f>
        <v>161491.14583333334</v>
      </c>
    </row>
    <row r="117" spans="2:83" ht="15" hidden="1" outlineLevel="1" x14ac:dyDescent="0.2">
      <c r="B117" s="18">
        <f t="shared" si="36"/>
        <v>43892</v>
      </c>
      <c r="C117" s="17" t="s">
        <v>1</v>
      </c>
      <c r="D117" s="19">
        <f t="shared" si="37"/>
        <v>43898</v>
      </c>
      <c r="E117" s="20">
        <f t="shared" si="38"/>
        <v>3</v>
      </c>
      <c r="F117" s="21">
        <f t="shared" si="39"/>
        <v>2020</v>
      </c>
      <c r="G117" s="11">
        <f t="shared" si="60"/>
        <v>22</v>
      </c>
      <c r="H117" s="10">
        <f t="shared" si="60"/>
        <v>66</v>
      </c>
      <c r="I117" s="11"/>
      <c r="J117" s="11"/>
      <c r="K117" s="11"/>
      <c r="L117" s="11"/>
      <c r="M117" s="11"/>
      <c r="N117" s="11"/>
      <c r="O117" s="14"/>
      <c r="P117" s="14"/>
      <c r="Q117" s="14"/>
      <c r="R117" s="14"/>
      <c r="S117" s="14"/>
      <c r="T117" s="14"/>
      <c r="V117" s="22">
        <f t="shared" si="66"/>
        <v>0</v>
      </c>
      <c r="W117" s="22">
        <f t="shared" si="66"/>
        <v>0</v>
      </c>
      <c r="X117" s="22">
        <f t="shared" si="66"/>
        <v>0</v>
      </c>
      <c r="Y117" s="22">
        <f t="shared" si="66"/>
        <v>0</v>
      </c>
      <c r="Z117" s="22">
        <f t="shared" si="66"/>
        <v>0</v>
      </c>
      <c r="AA117" s="22">
        <f t="shared" si="66"/>
        <v>0</v>
      </c>
      <c r="AB117" s="1"/>
      <c r="AC117" s="5">
        <f t="shared" si="43"/>
        <v>53</v>
      </c>
      <c r="AD117" s="5">
        <f t="shared" si="44"/>
        <v>41</v>
      </c>
      <c r="AE117" s="5">
        <f t="shared" si="45"/>
        <v>23</v>
      </c>
      <c r="AF117" s="5">
        <f t="shared" si="46"/>
        <v>0</v>
      </c>
      <c r="AG117" s="5">
        <f t="shared" si="47"/>
        <v>0</v>
      </c>
      <c r="AH117" s="5">
        <f t="shared" si="48"/>
        <v>0</v>
      </c>
      <c r="AI117" s="5">
        <f t="shared" si="49"/>
        <v>0</v>
      </c>
      <c r="AJ117" s="5">
        <f t="shared" si="50"/>
        <v>0</v>
      </c>
      <c r="AK117" s="5">
        <f t="shared" si="51"/>
        <v>0</v>
      </c>
      <c r="AL117" s="5">
        <f t="shared" si="52"/>
        <v>0</v>
      </c>
      <c r="AM117" s="5">
        <f t="shared" si="53"/>
        <v>0</v>
      </c>
      <c r="AN117" s="5">
        <f t="shared" si="54"/>
        <v>0</v>
      </c>
      <c r="AO117" s="5">
        <f t="shared" si="55"/>
        <v>0</v>
      </c>
      <c r="AP117" s="5">
        <f t="shared" si="56"/>
        <v>0</v>
      </c>
      <c r="AQ117" s="5">
        <f t="shared" si="57"/>
        <v>0</v>
      </c>
      <c r="AR117" s="5">
        <f t="shared" si="58"/>
        <v>0</v>
      </c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M117" s="40">
        <f>IF(OR(V116=4,V116=8,V116=12,V116=16,V116=20),$CA$1,0)</f>
        <v>0</v>
      </c>
      <c r="BN117" s="40">
        <f>IF(OR(W116=4,W116=8,W116=12,W116=16,W116=20),$CA$1,0)</f>
        <v>0</v>
      </c>
      <c r="BO117" s="40">
        <f>IF(OR(X116=4,X116=8,X116=12,X116=16,X116=20),$CA$1,0)</f>
        <v>0</v>
      </c>
      <c r="BP117" s="40">
        <f>IF(OR(Y116=4,Y116=8,Y116=12,Y116=16,Y116=20),$CA$1,0)</f>
        <v>0</v>
      </c>
      <c r="BQ117" s="40">
        <f>IF(OR(Z116=4,Z116=8,Z116=12,Z116=16,Z116=20),$CA$1,0)</f>
        <v>0</v>
      </c>
      <c r="BR117" s="40">
        <f>IF(OR(AA116=4,AA116=8,AA116=12,AA116=16,AA116=20),$CA$1,0)</f>
        <v>0</v>
      </c>
      <c r="BS117" s="40">
        <f>IF(V113=20,$CB$1,0)</f>
        <v>0</v>
      </c>
      <c r="BT117" s="40">
        <f>IF(W113=20,$CB$1,0)</f>
        <v>0</v>
      </c>
      <c r="BU117" s="40">
        <f>IF(X113=20,$CB$1,0)</f>
        <v>0</v>
      </c>
      <c r="BV117" s="40">
        <f>IF(Y113=20,$CB$1,0)</f>
        <v>0</v>
      </c>
      <c r="BW117" s="40">
        <f>IF(Z113=20,$CB$1,0)</f>
        <v>0</v>
      </c>
      <c r="BX117" s="40">
        <f>IF(AA113=20,$CB$1,0)</f>
        <v>0</v>
      </c>
      <c r="BY117" s="41">
        <f t="shared" si="64"/>
        <v>0</v>
      </c>
      <c r="BZ117" s="41">
        <f t="shared" si="61"/>
        <v>0</v>
      </c>
      <c r="CA117" s="58">
        <f t="shared" si="65"/>
        <v>43892</v>
      </c>
      <c r="CB117" s="47">
        <f t="shared" si="63"/>
        <v>0</v>
      </c>
      <c r="CD117" s="48" t="s">
        <v>14</v>
      </c>
      <c r="CE117" s="49">
        <f>CB134</f>
        <v>161491.14583333334</v>
      </c>
    </row>
    <row r="118" spans="2:83" ht="15" hidden="1" outlineLevel="1" x14ac:dyDescent="0.2">
      <c r="B118" s="18">
        <f t="shared" si="36"/>
        <v>43899</v>
      </c>
      <c r="C118" s="17" t="s">
        <v>1</v>
      </c>
      <c r="D118" s="19">
        <f t="shared" si="37"/>
        <v>43905</v>
      </c>
      <c r="E118" s="20">
        <f t="shared" si="38"/>
        <v>3</v>
      </c>
      <c r="F118" s="21">
        <f t="shared" si="39"/>
        <v>2020</v>
      </c>
      <c r="G118" s="11">
        <f t="shared" ref="G118:H133" si="67">G117</f>
        <v>22</v>
      </c>
      <c r="H118" s="10">
        <f t="shared" si="67"/>
        <v>66</v>
      </c>
      <c r="I118" s="11"/>
      <c r="J118" s="11"/>
      <c r="K118" s="11"/>
      <c r="L118" s="11"/>
      <c r="M118" s="11"/>
      <c r="N118" s="11"/>
      <c r="O118" s="14"/>
      <c r="P118" s="14"/>
      <c r="Q118" s="14"/>
      <c r="R118" s="14"/>
      <c r="S118" s="14"/>
      <c r="T118" s="14"/>
      <c r="V118" s="22">
        <f t="shared" si="66"/>
        <v>0</v>
      </c>
      <c r="W118" s="22">
        <f t="shared" si="66"/>
        <v>0</v>
      </c>
      <c r="X118" s="22">
        <f t="shared" si="66"/>
        <v>0</v>
      </c>
      <c r="Y118" s="22">
        <f t="shared" si="66"/>
        <v>0</v>
      </c>
      <c r="Z118" s="22">
        <f t="shared" si="66"/>
        <v>0</v>
      </c>
      <c r="AA118" s="22">
        <f t="shared" si="66"/>
        <v>0</v>
      </c>
      <c r="AB118" s="1"/>
      <c r="AC118" s="5">
        <f t="shared" si="43"/>
        <v>54</v>
      </c>
      <c r="AD118" s="5">
        <f t="shared" si="44"/>
        <v>42</v>
      </c>
      <c r="AE118" s="5">
        <f t="shared" si="45"/>
        <v>24</v>
      </c>
      <c r="AF118" s="5">
        <f t="shared" si="46"/>
        <v>0</v>
      </c>
      <c r="AG118" s="5">
        <f t="shared" si="47"/>
        <v>0</v>
      </c>
      <c r="AH118" s="5">
        <f t="shared" si="48"/>
        <v>0</v>
      </c>
      <c r="AI118" s="5">
        <f t="shared" si="49"/>
        <v>0</v>
      </c>
      <c r="AJ118" s="5">
        <f t="shared" si="50"/>
        <v>0</v>
      </c>
      <c r="AK118" s="5">
        <f t="shared" si="51"/>
        <v>0</v>
      </c>
      <c r="AL118" s="5">
        <f t="shared" si="52"/>
        <v>0</v>
      </c>
      <c r="AM118" s="5">
        <f t="shared" si="53"/>
        <v>0</v>
      </c>
      <c r="AN118" s="5">
        <f t="shared" si="54"/>
        <v>0</v>
      </c>
      <c r="AO118" s="5">
        <f t="shared" si="55"/>
        <v>0</v>
      </c>
      <c r="AP118" s="5">
        <f t="shared" si="56"/>
        <v>0</v>
      </c>
      <c r="AQ118" s="5">
        <f t="shared" si="57"/>
        <v>0</v>
      </c>
      <c r="AR118" s="5">
        <f t="shared" si="58"/>
        <v>0</v>
      </c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M118" s="40">
        <f>IF(OR(V117=4,V117=8,V117=12,V117=16,V117=20),$CA$1,0)</f>
        <v>0</v>
      </c>
      <c r="BN118" s="40">
        <f>IF(OR(W117=4,W117=8,W117=12,W117=16,W117=20),$CA$1,0)</f>
        <v>0</v>
      </c>
      <c r="BO118" s="40">
        <f>IF(OR(X117=4,X117=8,X117=12,X117=16,X117=20),$CA$1,0)</f>
        <v>0</v>
      </c>
      <c r="BP118" s="40">
        <f>IF(OR(Y117=4,Y117=8,Y117=12,Y117=16,Y117=20),$CA$1,0)</f>
        <v>0</v>
      </c>
      <c r="BQ118" s="40">
        <f>IF(OR(Z117=4,Z117=8,Z117=12,Z117=16,Z117=20),$CA$1,0)</f>
        <v>0</v>
      </c>
      <c r="BR118" s="40">
        <f>IF(OR(AA117=4,AA117=8,AA117=12,AA117=16,AA117=20),$CA$1,0)</f>
        <v>0</v>
      </c>
      <c r="BS118" s="40">
        <f>IF(V114=20,$CB$1,0)</f>
        <v>651525.49583333335</v>
      </c>
      <c r="BT118" s="40">
        <f>IF(W114=20,$CB$1,0)</f>
        <v>0</v>
      </c>
      <c r="BU118" s="40">
        <f>IF(X114=20,$CB$1,0)</f>
        <v>0</v>
      </c>
      <c r="BV118" s="40">
        <f>IF(Y114=20,$CB$1,0)</f>
        <v>0</v>
      </c>
      <c r="BW118" s="40">
        <f>IF(Z114=20,$CB$1,0)</f>
        <v>0</v>
      </c>
      <c r="BX118" s="40">
        <f>IF(AA114=20,$CB$1,0)</f>
        <v>0</v>
      </c>
      <c r="BY118" s="41">
        <f t="shared" si="64"/>
        <v>651525.49583333335</v>
      </c>
      <c r="BZ118" s="41">
        <f t="shared" si="61"/>
        <v>651525.49583333335</v>
      </c>
      <c r="CA118" s="58">
        <f t="shared" si="65"/>
        <v>43899</v>
      </c>
      <c r="CB118" s="47">
        <f t="shared" si="63"/>
        <v>0</v>
      </c>
      <c r="CD118" s="48" t="s">
        <v>15</v>
      </c>
      <c r="CE118" s="49">
        <f>CB138</f>
        <v>161491.14583333334</v>
      </c>
    </row>
    <row r="119" spans="2:83" ht="15" hidden="1" outlineLevel="1" x14ac:dyDescent="0.2">
      <c r="B119" s="18">
        <f t="shared" si="36"/>
        <v>43906</v>
      </c>
      <c r="C119" s="17" t="s">
        <v>1</v>
      </c>
      <c r="D119" s="19">
        <f t="shared" si="37"/>
        <v>43912</v>
      </c>
      <c r="E119" s="20">
        <f t="shared" si="38"/>
        <v>3</v>
      </c>
      <c r="F119" s="21">
        <f t="shared" si="39"/>
        <v>2020</v>
      </c>
      <c r="G119" s="11">
        <f t="shared" si="67"/>
        <v>22</v>
      </c>
      <c r="H119" s="10">
        <f t="shared" si="67"/>
        <v>66</v>
      </c>
      <c r="I119" s="11"/>
      <c r="J119" s="11"/>
      <c r="K119" s="11"/>
      <c r="L119" s="11"/>
      <c r="M119" s="11"/>
      <c r="N119" s="11"/>
      <c r="O119" s="14"/>
      <c r="P119" s="14"/>
      <c r="Q119" s="14"/>
      <c r="R119" s="14"/>
      <c r="S119" s="14"/>
      <c r="T119" s="14"/>
      <c r="V119" s="22">
        <f t="shared" si="66"/>
        <v>0</v>
      </c>
      <c r="W119" s="22">
        <f t="shared" si="66"/>
        <v>0</v>
      </c>
      <c r="X119" s="22">
        <f t="shared" si="66"/>
        <v>0</v>
      </c>
      <c r="Y119" s="22">
        <f t="shared" si="66"/>
        <v>0</v>
      </c>
      <c r="Z119" s="22">
        <f t="shared" si="66"/>
        <v>0</v>
      </c>
      <c r="AA119" s="22">
        <f t="shared" si="66"/>
        <v>0</v>
      </c>
      <c r="AB119" s="1"/>
      <c r="AC119" s="5">
        <f t="shared" si="43"/>
        <v>55</v>
      </c>
      <c r="AD119" s="5">
        <f t="shared" si="44"/>
        <v>43</v>
      </c>
      <c r="AE119" s="5">
        <f t="shared" si="45"/>
        <v>25</v>
      </c>
      <c r="AF119" s="5">
        <f t="shared" si="46"/>
        <v>0</v>
      </c>
      <c r="AG119" s="5">
        <f t="shared" si="47"/>
        <v>0</v>
      </c>
      <c r="AH119" s="5">
        <f t="shared" si="48"/>
        <v>0</v>
      </c>
      <c r="AI119" s="5">
        <f t="shared" si="49"/>
        <v>0</v>
      </c>
      <c r="AJ119" s="5">
        <f t="shared" si="50"/>
        <v>0</v>
      </c>
      <c r="AK119" s="5">
        <f t="shared" si="51"/>
        <v>0</v>
      </c>
      <c r="AL119" s="5">
        <f t="shared" si="52"/>
        <v>0</v>
      </c>
      <c r="AM119" s="5">
        <f t="shared" si="53"/>
        <v>0</v>
      </c>
      <c r="AN119" s="5">
        <f t="shared" si="54"/>
        <v>0</v>
      </c>
      <c r="AO119" s="5">
        <f t="shared" si="55"/>
        <v>0</v>
      </c>
      <c r="AP119" s="5">
        <f t="shared" si="56"/>
        <v>0</v>
      </c>
      <c r="AQ119" s="5">
        <f t="shared" si="57"/>
        <v>0</v>
      </c>
      <c r="AR119" s="5">
        <f t="shared" si="58"/>
        <v>0</v>
      </c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M119" s="40">
        <f>IF(OR(V118=4,V118=8,V118=12,V118=16,V118=20),$CA$1,0)</f>
        <v>0</v>
      </c>
      <c r="BN119" s="40">
        <f>IF(OR(W118=4,W118=8,W118=12,W118=16,W118=20),$CA$1,0)</f>
        <v>0</v>
      </c>
      <c r="BO119" s="40">
        <f>IF(OR(X118=4,X118=8,X118=12,X118=16,X118=20),$CA$1,0)</f>
        <v>0</v>
      </c>
      <c r="BP119" s="40">
        <f>IF(OR(Y118=4,Y118=8,Y118=12,Y118=16,Y118=20),$CA$1,0)</f>
        <v>0</v>
      </c>
      <c r="BQ119" s="40">
        <f>IF(OR(Z118=4,Z118=8,Z118=12,Z118=16,Z118=20),$CA$1,0)</f>
        <v>0</v>
      </c>
      <c r="BR119" s="40">
        <f>IF(OR(AA118=4,AA118=8,AA118=12,AA118=16,AA118=20),$CA$1,0)</f>
        <v>0</v>
      </c>
      <c r="BS119" s="40">
        <f>IF(V115=20,$CB$1,0)</f>
        <v>0</v>
      </c>
      <c r="BT119" s="40">
        <f>IF(W115=20,$CB$1,0)</f>
        <v>0</v>
      </c>
      <c r="BU119" s="40">
        <f>IF(X115=20,$CB$1,0)</f>
        <v>0</v>
      </c>
      <c r="BV119" s="40">
        <f>IF(Y115=20,$CB$1,0)</f>
        <v>0</v>
      </c>
      <c r="BW119" s="40">
        <f>IF(Z115=20,$CB$1,0)</f>
        <v>0</v>
      </c>
      <c r="BX119" s="40">
        <f>IF(AA115=20,$CB$1,0)</f>
        <v>0</v>
      </c>
      <c r="BY119" s="41">
        <f t="shared" si="64"/>
        <v>0</v>
      </c>
      <c r="BZ119" s="41">
        <f t="shared" si="61"/>
        <v>651525.49583333335</v>
      </c>
      <c r="CA119" s="58">
        <f t="shared" si="65"/>
        <v>43906</v>
      </c>
      <c r="CB119" s="47">
        <f t="shared" si="63"/>
        <v>0</v>
      </c>
      <c r="CD119" s="48" t="s">
        <v>16</v>
      </c>
      <c r="CE119" s="49">
        <f>CB143</f>
        <v>161491.14583333334</v>
      </c>
    </row>
    <row r="120" spans="2:83" ht="15" hidden="1" outlineLevel="1" x14ac:dyDescent="0.2">
      <c r="B120" s="18">
        <f t="shared" si="36"/>
        <v>43913</v>
      </c>
      <c r="C120" s="17" t="s">
        <v>1</v>
      </c>
      <c r="D120" s="19">
        <f t="shared" si="37"/>
        <v>43919</v>
      </c>
      <c r="E120" s="20">
        <f t="shared" si="38"/>
        <v>3</v>
      </c>
      <c r="F120" s="21">
        <f t="shared" si="39"/>
        <v>2020</v>
      </c>
      <c r="G120" s="11">
        <f t="shared" si="67"/>
        <v>22</v>
      </c>
      <c r="H120" s="10">
        <f t="shared" si="67"/>
        <v>66</v>
      </c>
      <c r="I120" s="11"/>
      <c r="J120" s="11"/>
      <c r="K120" s="11"/>
      <c r="L120" s="11"/>
      <c r="M120" s="11"/>
      <c r="N120" s="11"/>
      <c r="O120" s="14"/>
      <c r="P120" s="14"/>
      <c r="Q120" s="14"/>
      <c r="R120" s="14"/>
      <c r="S120" s="14"/>
      <c r="T120" s="14"/>
      <c r="V120" s="22">
        <f t="shared" si="66"/>
        <v>0</v>
      </c>
      <c r="W120" s="22">
        <f t="shared" si="66"/>
        <v>0</v>
      </c>
      <c r="X120" s="22">
        <f t="shared" si="66"/>
        <v>0</v>
      </c>
      <c r="Y120" s="22">
        <f t="shared" si="66"/>
        <v>0</v>
      </c>
      <c r="Z120" s="22">
        <f t="shared" si="66"/>
        <v>0</v>
      </c>
      <c r="AA120" s="22">
        <f t="shared" si="66"/>
        <v>0</v>
      </c>
      <c r="AB120" s="1"/>
      <c r="AC120" s="5">
        <f t="shared" si="43"/>
        <v>56</v>
      </c>
      <c r="AD120" s="5">
        <f t="shared" si="44"/>
        <v>44</v>
      </c>
      <c r="AE120" s="5">
        <f t="shared" si="45"/>
        <v>26</v>
      </c>
      <c r="AF120" s="5">
        <f t="shared" si="46"/>
        <v>0</v>
      </c>
      <c r="AG120" s="5">
        <f t="shared" si="47"/>
        <v>0</v>
      </c>
      <c r="AH120" s="5">
        <f t="shared" si="48"/>
        <v>0</v>
      </c>
      <c r="AI120" s="5">
        <f t="shared" si="49"/>
        <v>0</v>
      </c>
      <c r="AJ120" s="5">
        <f t="shared" si="50"/>
        <v>0</v>
      </c>
      <c r="AK120" s="5">
        <f t="shared" si="51"/>
        <v>0</v>
      </c>
      <c r="AL120" s="5">
        <f t="shared" si="52"/>
        <v>0</v>
      </c>
      <c r="AM120" s="5">
        <f t="shared" si="53"/>
        <v>0</v>
      </c>
      <c r="AN120" s="5">
        <f t="shared" si="54"/>
        <v>0</v>
      </c>
      <c r="AO120" s="5">
        <f t="shared" si="55"/>
        <v>0</v>
      </c>
      <c r="AP120" s="5">
        <f t="shared" si="56"/>
        <v>0</v>
      </c>
      <c r="AQ120" s="5">
        <f t="shared" si="57"/>
        <v>0</v>
      </c>
      <c r="AR120" s="5">
        <f t="shared" si="58"/>
        <v>0</v>
      </c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M120" s="40">
        <f>IF(OR(V119=4,V119=8,V119=12,V119=16,V119=20),$CA$1,0)</f>
        <v>0</v>
      </c>
      <c r="BN120" s="40">
        <f>IF(OR(W119=4,W119=8,W119=12,W119=16,W119=20),$CA$1,0)</f>
        <v>0</v>
      </c>
      <c r="BO120" s="40">
        <f>IF(OR(X119=4,X119=8,X119=12,X119=16,X119=20),$CA$1,0)</f>
        <v>0</v>
      </c>
      <c r="BP120" s="40">
        <f>IF(OR(Y119=4,Y119=8,Y119=12,Y119=16,Y119=20),$CA$1,0)</f>
        <v>0</v>
      </c>
      <c r="BQ120" s="40">
        <f>IF(OR(Z119=4,Z119=8,Z119=12,Z119=16,Z119=20),$CA$1,0)</f>
        <v>0</v>
      </c>
      <c r="BR120" s="40">
        <f>IF(OR(AA119=4,AA119=8,AA119=12,AA119=16,AA119=20),$CA$1,0)</f>
        <v>0</v>
      </c>
      <c r="BS120" s="40">
        <f>IF(V116=20,$CB$1,0)</f>
        <v>0</v>
      </c>
      <c r="BT120" s="40">
        <f>IF(W116=20,$CB$1,0)</f>
        <v>0</v>
      </c>
      <c r="BU120" s="40">
        <f>IF(X116=20,$CB$1,0)</f>
        <v>0</v>
      </c>
      <c r="BV120" s="40">
        <f>IF(Y116=20,$CB$1,0)</f>
        <v>0</v>
      </c>
      <c r="BW120" s="40">
        <f>IF(Z116=20,$CB$1,0)</f>
        <v>0</v>
      </c>
      <c r="BX120" s="40">
        <f>IF(AA116=20,$CB$1,0)</f>
        <v>0</v>
      </c>
      <c r="BY120" s="41">
        <f t="shared" si="64"/>
        <v>0</v>
      </c>
      <c r="BZ120" s="41">
        <f t="shared" si="61"/>
        <v>651525.49583333335</v>
      </c>
      <c r="CA120" s="58">
        <f t="shared" si="65"/>
        <v>43913</v>
      </c>
      <c r="CB120" s="47">
        <f t="shared" si="63"/>
        <v>0</v>
      </c>
      <c r="CD120" s="48" t="s">
        <v>17</v>
      </c>
      <c r="CE120" s="49">
        <f>CB147</f>
        <v>161491.14583333334</v>
      </c>
    </row>
    <row r="121" spans="2:83" ht="15" hidden="1" outlineLevel="1" x14ac:dyDescent="0.2">
      <c r="B121" s="18">
        <f t="shared" si="36"/>
        <v>43920</v>
      </c>
      <c r="C121" s="17" t="s">
        <v>1</v>
      </c>
      <c r="D121" s="19">
        <f t="shared" si="37"/>
        <v>43926</v>
      </c>
      <c r="E121" s="20">
        <f t="shared" si="38"/>
        <v>3</v>
      </c>
      <c r="F121" s="21">
        <f t="shared" si="39"/>
        <v>2020</v>
      </c>
      <c r="G121" s="11">
        <f t="shared" si="67"/>
        <v>22</v>
      </c>
      <c r="H121" s="10">
        <f t="shared" si="67"/>
        <v>66</v>
      </c>
      <c r="I121" s="11"/>
      <c r="J121" s="11"/>
      <c r="K121" s="11"/>
      <c r="L121" s="11"/>
      <c r="M121" s="11"/>
      <c r="N121" s="11"/>
      <c r="O121" s="14"/>
      <c r="P121" s="14"/>
      <c r="Q121" s="14"/>
      <c r="R121" s="14"/>
      <c r="S121" s="14"/>
      <c r="T121" s="14"/>
      <c r="V121" s="22">
        <f t="shared" si="66"/>
        <v>0</v>
      </c>
      <c r="W121" s="22">
        <f t="shared" si="66"/>
        <v>0</v>
      </c>
      <c r="X121" s="22">
        <f t="shared" si="66"/>
        <v>0</v>
      </c>
      <c r="Y121" s="22">
        <f t="shared" si="66"/>
        <v>0</v>
      </c>
      <c r="Z121" s="22">
        <f t="shared" si="66"/>
        <v>0</v>
      </c>
      <c r="AA121" s="22">
        <f t="shared" si="66"/>
        <v>0</v>
      </c>
      <c r="AB121" s="1"/>
      <c r="AC121" s="5">
        <f t="shared" si="43"/>
        <v>57</v>
      </c>
      <c r="AD121" s="5">
        <f t="shared" si="44"/>
        <v>45</v>
      </c>
      <c r="AE121" s="5">
        <f t="shared" si="45"/>
        <v>27</v>
      </c>
      <c r="AF121" s="5">
        <f t="shared" si="46"/>
        <v>0</v>
      </c>
      <c r="AG121" s="5">
        <f t="shared" si="47"/>
        <v>0</v>
      </c>
      <c r="AH121" s="5">
        <f t="shared" si="48"/>
        <v>0</v>
      </c>
      <c r="AI121" s="5">
        <f t="shared" si="49"/>
        <v>0</v>
      </c>
      <c r="AJ121" s="5">
        <f t="shared" si="50"/>
        <v>0</v>
      </c>
      <c r="AK121" s="5">
        <f t="shared" si="51"/>
        <v>0</v>
      </c>
      <c r="AL121" s="5">
        <f t="shared" si="52"/>
        <v>0</v>
      </c>
      <c r="AM121" s="5">
        <f t="shared" si="53"/>
        <v>0</v>
      </c>
      <c r="AN121" s="5">
        <f t="shared" si="54"/>
        <v>0</v>
      </c>
      <c r="AO121" s="5">
        <f t="shared" si="55"/>
        <v>0</v>
      </c>
      <c r="AP121" s="5">
        <f t="shared" si="56"/>
        <v>0</v>
      </c>
      <c r="AQ121" s="5">
        <f t="shared" si="57"/>
        <v>0</v>
      </c>
      <c r="AR121" s="5">
        <f t="shared" si="58"/>
        <v>0</v>
      </c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M121" s="40">
        <f>IF(OR(V120=4,V120=8,V120=12,V120=16,V120=20),$CA$1,0)</f>
        <v>0</v>
      </c>
      <c r="BN121" s="40">
        <f>IF(OR(W120=4,W120=8,W120=12,W120=16,W120=20),$CA$1,0)</f>
        <v>0</v>
      </c>
      <c r="BO121" s="40">
        <f>IF(OR(X120=4,X120=8,X120=12,X120=16,X120=20),$CA$1,0)</f>
        <v>0</v>
      </c>
      <c r="BP121" s="40">
        <f>IF(OR(Y120=4,Y120=8,Y120=12,Y120=16,Y120=20),$CA$1,0)</f>
        <v>0</v>
      </c>
      <c r="BQ121" s="40">
        <f>IF(OR(Z120=4,Z120=8,Z120=12,Z120=16,Z120=20),$CA$1,0)</f>
        <v>0</v>
      </c>
      <c r="BR121" s="40">
        <f>IF(OR(AA120=4,AA120=8,AA120=12,AA120=16,AA120=20),$CA$1,0)</f>
        <v>0</v>
      </c>
      <c r="BS121" s="40">
        <f>IF(V117=20,$CB$1,0)</f>
        <v>0</v>
      </c>
      <c r="BT121" s="40">
        <f>IF(W117=20,$CB$1,0)</f>
        <v>0</v>
      </c>
      <c r="BU121" s="40">
        <f>IF(X117=20,$CB$1,0)</f>
        <v>0</v>
      </c>
      <c r="BV121" s="40">
        <f>IF(Y117=20,$CB$1,0)</f>
        <v>0</v>
      </c>
      <c r="BW121" s="40">
        <f>IF(Z117=20,$CB$1,0)</f>
        <v>0</v>
      </c>
      <c r="BX121" s="40">
        <f>IF(AA117=20,$CB$1,0)</f>
        <v>0</v>
      </c>
      <c r="BY121" s="41">
        <f t="shared" si="64"/>
        <v>0</v>
      </c>
      <c r="BZ121" s="41">
        <f t="shared" si="61"/>
        <v>651525.49583333335</v>
      </c>
      <c r="CA121" s="58">
        <f t="shared" si="65"/>
        <v>43920</v>
      </c>
      <c r="CB121" s="47">
        <f t="shared" si="63"/>
        <v>651525.49583333335</v>
      </c>
      <c r="CD121" s="48" t="s">
        <v>18</v>
      </c>
      <c r="CE121" s="49">
        <f>CB151</f>
        <v>651525.49583333335</v>
      </c>
    </row>
    <row r="122" spans="2:83" ht="15" hidden="1" outlineLevel="1" x14ac:dyDescent="0.2">
      <c r="B122" s="18">
        <f t="shared" si="36"/>
        <v>43927</v>
      </c>
      <c r="C122" s="17" t="s">
        <v>1</v>
      </c>
      <c r="D122" s="19">
        <f t="shared" si="37"/>
        <v>43933</v>
      </c>
      <c r="E122" s="20">
        <f t="shared" si="38"/>
        <v>4</v>
      </c>
      <c r="F122" s="21">
        <f t="shared" si="39"/>
        <v>2020</v>
      </c>
      <c r="G122" s="11">
        <f t="shared" si="67"/>
        <v>22</v>
      </c>
      <c r="H122" s="10">
        <f t="shared" si="67"/>
        <v>66</v>
      </c>
      <c r="I122" s="11"/>
      <c r="J122" s="11"/>
      <c r="K122" s="11"/>
      <c r="L122" s="11"/>
      <c r="M122" s="11"/>
      <c r="N122" s="11"/>
      <c r="O122" s="14"/>
      <c r="P122" s="14"/>
      <c r="Q122" s="14"/>
      <c r="R122" s="14"/>
      <c r="S122" s="14"/>
      <c r="T122" s="14"/>
      <c r="V122" s="22">
        <f t="shared" si="66"/>
        <v>0</v>
      </c>
      <c r="W122" s="22">
        <f t="shared" si="66"/>
        <v>0</v>
      </c>
      <c r="X122" s="22">
        <f t="shared" si="66"/>
        <v>0</v>
      </c>
      <c r="Y122" s="22">
        <f t="shared" si="66"/>
        <v>0</v>
      </c>
      <c r="Z122" s="22">
        <f t="shared" si="66"/>
        <v>0</v>
      </c>
      <c r="AA122" s="22">
        <f t="shared" si="66"/>
        <v>0</v>
      </c>
      <c r="AB122" s="1"/>
      <c r="AC122" s="5">
        <f t="shared" si="43"/>
        <v>58</v>
      </c>
      <c r="AD122" s="5">
        <f t="shared" si="44"/>
        <v>46</v>
      </c>
      <c r="AE122" s="5">
        <f t="shared" si="45"/>
        <v>28</v>
      </c>
      <c r="AF122" s="5">
        <f t="shared" si="46"/>
        <v>0</v>
      </c>
      <c r="AG122" s="5">
        <f t="shared" si="47"/>
        <v>0</v>
      </c>
      <c r="AH122" s="5">
        <f t="shared" si="48"/>
        <v>0</v>
      </c>
      <c r="AI122" s="5">
        <f t="shared" si="49"/>
        <v>0</v>
      </c>
      <c r="AJ122" s="5">
        <f t="shared" si="50"/>
        <v>0</v>
      </c>
      <c r="AK122" s="5">
        <f t="shared" si="51"/>
        <v>0</v>
      </c>
      <c r="AL122" s="5">
        <f t="shared" si="52"/>
        <v>0</v>
      </c>
      <c r="AM122" s="5">
        <f t="shared" si="53"/>
        <v>0</v>
      </c>
      <c r="AN122" s="5">
        <f t="shared" si="54"/>
        <v>0</v>
      </c>
      <c r="AO122" s="5">
        <f t="shared" si="55"/>
        <v>0</v>
      </c>
      <c r="AP122" s="5">
        <f t="shared" si="56"/>
        <v>0</v>
      </c>
      <c r="AQ122" s="5">
        <f t="shared" si="57"/>
        <v>0</v>
      </c>
      <c r="AR122" s="5">
        <f t="shared" si="58"/>
        <v>0</v>
      </c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M122" s="40">
        <f>IF(OR(V121=4,V121=8,V121=12,V121=16,V121=20),$CA$1,0)</f>
        <v>0</v>
      </c>
      <c r="BN122" s="40">
        <f>IF(OR(W121=4,W121=8,W121=12,W121=16,W121=20),$CA$1,0)</f>
        <v>0</v>
      </c>
      <c r="BO122" s="40">
        <f>IF(OR(X121=4,X121=8,X121=12,X121=16,X121=20),$CA$1,0)</f>
        <v>0</v>
      </c>
      <c r="BP122" s="40">
        <f>IF(OR(Y121=4,Y121=8,Y121=12,Y121=16,Y121=20),$CA$1,0)</f>
        <v>0</v>
      </c>
      <c r="BQ122" s="40">
        <f>IF(OR(Z121=4,Z121=8,Z121=12,Z121=16,Z121=20),$CA$1,0)</f>
        <v>0</v>
      </c>
      <c r="BR122" s="40">
        <f>IF(OR(AA121=4,AA121=8,AA121=12,AA121=16,AA121=20),$CA$1,0)</f>
        <v>0</v>
      </c>
      <c r="BS122" s="40">
        <f>IF(V118=20,$CB$1,0)</f>
        <v>0</v>
      </c>
      <c r="BT122" s="40">
        <f>IF(W118=20,$CB$1,0)</f>
        <v>0</v>
      </c>
      <c r="BU122" s="40">
        <f>IF(X118=20,$CB$1,0)</f>
        <v>0</v>
      </c>
      <c r="BV122" s="40">
        <f>IF(Y118=20,$CB$1,0)</f>
        <v>0</v>
      </c>
      <c r="BW122" s="40">
        <f>IF(Z118=20,$CB$1,0)</f>
        <v>0</v>
      </c>
      <c r="BX122" s="40">
        <f>IF(AA118=20,$CB$1,0)</f>
        <v>0</v>
      </c>
      <c r="BY122" s="41">
        <f t="shared" si="64"/>
        <v>0</v>
      </c>
      <c r="BZ122" s="41">
        <f t="shared" si="61"/>
        <v>0</v>
      </c>
      <c r="CA122" s="58">
        <f t="shared" si="65"/>
        <v>43927</v>
      </c>
      <c r="CB122" s="47">
        <f t="shared" si="63"/>
        <v>0</v>
      </c>
      <c r="CD122" s="48" t="s">
        <v>19</v>
      </c>
      <c r="CE122" s="49">
        <f>CB156</f>
        <v>161491.14583333334</v>
      </c>
    </row>
    <row r="123" spans="2:83" ht="15" hidden="1" outlineLevel="1" x14ac:dyDescent="0.2">
      <c r="B123" s="18">
        <f t="shared" si="36"/>
        <v>43934</v>
      </c>
      <c r="C123" s="17" t="s">
        <v>1</v>
      </c>
      <c r="D123" s="19">
        <f t="shared" si="37"/>
        <v>43940</v>
      </c>
      <c r="E123" s="20">
        <f t="shared" si="38"/>
        <v>4</v>
      </c>
      <c r="F123" s="21">
        <f t="shared" si="39"/>
        <v>2020</v>
      </c>
      <c r="G123" s="11">
        <f t="shared" si="67"/>
        <v>22</v>
      </c>
      <c r="H123" s="10">
        <f t="shared" si="67"/>
        <v>66</v>
      </c>
      <c r="I123" s="11"/>
      <c r="J123" s="11"/>
      <c r="K123" s="11"/>
      <c r="L123" s="11"/>
      <c r="M123" s="11"/>
      <c r="N123" s="11"/>
      <c r="O123" s="14"/>
      <c r="P123" s="14"/>
      <c r="Q123" s="14"/>
      <c r="R123" s="14"/>
      <c r="S123" s="14"/>
      <c r="T123" s="14"/>
      <c r="V123" s="22">
        <f t="shared" si="66"/>
        <v>0</v>
      </c>
      <c r="W123" s="22">
        <f t="shared" si="66"/>
        <v>0</v>
      </c>
      <c r="X123" s="22">
        <f t="shared" si="66"/>
        <v>0</v>
      </c>
      <c r="Y123" s="22">
        <f t="shared" si="66"/>
        <v>0</v>
      </c>
      <c r="Z123" s="22">
        <f t="shared" si="66"/>
        <v>0</v>
      </c>
      <c r="AA123" s="22">
        <f t="shared" si="66"/>
        <v>0</v>
      </c>
      <c r="AB123" s="1"/>
      <c r="AC123" s="5">
        <f t="shared" si="43"/>
        <v>59</v>
      </c>
      <c r="AD123" s="5">
        <f t="shared" si="44"/>
        <v>47</v>
      </c>
      <c r="AE123" s="5">
        <f t="shared" si="45"/>
        <v>29</v>
      </c>
      <c r="AF123" s="5">
        <f t="shared" si="46"/>
        <v>0</v>
      </c>
      <c r="AG123" s="5">
        <f t="shared" si="47"/>
        <v>0</v>
      </c>
      <c r="AH123" s="5">
        <f t="shared" si="48"/>
        <v>0</v>
      </c>
      <c r="AI123" s="5">
        <f t="shared" si="49"/>
        <v>0</v>
      </c>
      <c r="AJ123" s="5">
        <f t="shared" si="50"/>
        <v>0</v>
      </c>
      <c r="AK123" s="5">
        <f t="shared" si="51"/>
        <v>0</v>
      </c>
      <c r="AL123" s="5">
        <f t="shared" si="52"/>
        <v>0</v>
      </c>
      <c r="AM123" s="5">
        <f t="shared" si="53"/>
        <v>0</v>
      </c>
      <c r="AN123" s="5">
        <f t="shared" si="54"/>
        <v>0</v>
      </c>
      <c r="AO123" s="5">
        <f t="shared" si="55"/>
        <v>0</v>
      </c>
      <c r="AP123" s="5">
        <f t="shared" si="56"/>
        <v>0</v>
      </c>
      <c r="AQ123" s="5">
        <f t="shared" si="57"/>
        <v>0</v>
      </c>
      <c r="AR123" s="5">
        <f t="shared" si="58"/>
        <v>0</v>
      </c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M123" s="40">
        <f>IF(OR(V122=4,V122=8,V122=12,V122=16,V122=20),$CA$1,0)</f>
        <v>0</v>
      </c>
      <c r="BN123" s="40">
        <f>IF(OR(W122=4,W122=8,W122=12,W122=16,W122=20),$CA$1,0)</f>
        <v>0</v>
      </c>
      <c r="BO123" s="40">
        <f>IF(OR(X122=4,X122=8,X122=12,X122=16,X122=20),$CA$1,0)</f>
        <v>0</v>
      </c>
      <c r="BP123" s="40">
        <f>IF(OR(Y122=4,Y122=8,Y122=12,Y122=16,Y122=20),$CA$1,0)</f>
        <v>0</v>
      </c>
      <c r="BQ123" s="40">
        <f>IF(OR(Z122=4,Z122=8,Z122=12,Z122=16,Z122=20),$CA$1,0)</f>
        <v>0</v>
      </c>
      <c r="BR123" s="40">
        <f>IF(OR(AA122=4,AA122=8,AA122=12,AA122=16,AA122=20),$CA$1,0)</f>
        <v>0</v>
      </c>
      <c r="BS123" s="40">
        <f>IF(V119=20,$CB$1,0)</f>
        <v>0</v>
      </c>
      <c r="BT123" s="40">
        <f>IF(W119=20,$CB$1,0)</f>
        <v>0</v>
      </c>
      <c r="BU123" s="40">
        <f>IF(X119=20,$CB$1,0)</f>
        <v>0</v>
      </c>
      <c r="BV123" s="40">
        <f>IF(Y119=20,$CB$1,0)</f>
        <v>0</v>
      </c>
      <c r="BW123" s="40">
        <f>IF(Z119=20,$CB$1,0)</f>
        <v>0</v>
      </c>
      <c r="BX123" s="40">
        <f>IF(AA119=20,$CB$1,0)</f>
        <v>0</v>
      </c>
      <c r="BY123" s="41">
        <f t="shared" si="64"/>
        <v>0</v>
      </c>
      <c r="BZ123" s="41">
        <f t="shared" si="61"/>
        <v>0</v>
      </c>
      <c r="CA123" s="58">
        <f t="shared" si="65"/>
        <v>43934</v>
      </c>
      <c r="CB123" s="47">
        <f t="shared" si="63"/>
        <v>0</v>
      </c>
      <c r="CD123" s="48" t="s">
        <v>20</v>
      </c>
      <c r="CE123" s="49">
        <f>BZ159</f>
        <v>161491.14583333334</v>
      </c>
    </row>
    <row r="124" spans="2:83" ht="15" hidden="1" outlineLevel="1" x14ac:dyDescent="0.2">
      <c r="B124" s="18">
        <f t="shared" si="36"/>
        <v>43941</v>
      </c>
      <c r="C124" s="17" t="s">
        <v>1</v>
      </c>
      <c r="D124" s="19">
        <f t="shared" si="37"/>
        <v>43947</v>
      </c>
      <c r="E124" s="20">
        <f t="shared" si="38"/>
        <v>4</v>
      </c>
      <c r="F124" s="21">
        <f t="shared" si="39"/>
        <v>2020</v>
      </c>
      <c r="G124" s="11">
        <f t="shared" si="67"/>
        <v>22</v>
      </c>
      <c r="H124" s="10">
        <f t="shared" si="67"/>
        <v>66</v>
      </c>
      <c r="I124" s="11"/>
      <c r="J124" s="11"/>
      <c r="K124" s="11"/>
      <c r="L124" s="11"/>
      <c r="M124" s="11"/>
      <c r="N124" s="11"/>
      <c r="O124" s="14">
        <v>1</v>
      </c>
      <c r="P124" s="14"/>
      <c r="Q124" s="14"/>
      <c r="R124" s="14"/>
      <c r="S124" s="14"/>
      <c r="T124" s="14"/>
      <c r="V124" s="22">
        <f t="shared" si="66"/>
        <v>43943</v>
      </c>
      <c r="W124" s="22">
        <f t="shared" si="66"/>
        <v>0</v>
      </c>
      <c r="X124" s="22">
        <f t="shared" si="66"/>
        <v>0</v>
      </c>
      <c r="Y124" s="22">
        <f t="shared" si="66"/>
        <v>0</v>
      </c>
      <c r="Z124" s="22">
        <f t="shared" si="66"/>
        <v>0</v>
      </c>
      <c r="AA124" s="22">
        <f t="shared" si="66"/>
        <v>0</v>
      </c>
      <c r="AB124" s="1"/>
      <c r="AC124" s="5">
        <f t="shared" si="43"/>
        <v>60</v>
      </c>
      <c r="AD124" s="5">
        <f t="shared" si="44"/>
        <v>48</v>
      </c>
      <c r="AE124" s="5">
        <f t="shared" si="45"/>
        <v>30</v>
      </c>
      <c r="AF124" s="5">
        <f t="shared" si="46"/>
        <v>0</v>
      </c>
      <c r="AG124" s="5">
        <f t="shared" si="47"/>
        <v>0</v>
      </c>
      <c r="AH124" s="5">
        <f t="shared" si="48"/>
        <v>0</v>
      </c>
      <c r="AI124" s="5">
        <f t="shared" si="49"/>
        <v>0</v>
      </c>
      <c r="AJ124" s="5">
        <f t="shared" si="50"/>
        <v>0</v>
      </c>
      <c r="AK124" s="5">
        <f t="shared" si="51"/>
        <v>0</v>
      </c>
      <c r="AL124" s="5">
        <f t="shared" si="52"/>
        <v>0</v>
      </c>
      <c r="AM124" s="5">
        <f t="shared" si="53"/>
        <v>0</v>
      </c>
      <c r="AN124" s="5">
        <f t="shared" si="54"/>
        <v>0</v>
      </c>
      <c r="AO124" s="5">
        <f t="shared" si="55"/>
        <v>0</v>
      </c>
      <c r="AP124" s="5">
        <f t="shared" si="56"/>
        <v>0</v>
      </c>
      <c r="AQ124" s="5">
        <f t="shared" si="57"/>
        <v>0</v>
      </c>
      <c r="AR124" s="5">
        <f t="shared" si="58"/>
        <v>0</v>
      </c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M124" s="40">
        <f>IF(OR(V123=4,V123=8,V123=12,V123=16,V123=20),$CA$1,0)</f>
        <v>0</v>
      </c>
      <c r="BN124" s="40">
        <f>IF(OR(W123=4,W123=8,W123=12,W123=16,W123=20),$CA$1,0)</f>
        <v>0</v>
      </c>
      <c r="BO124" s="40">
        <f>IF(OR(X123=4,X123=8,X123=12,X123=16,X123=20),$CA$1,0)</f>
        <v>0</v>
      </c>
      <c r="BP124" s="40">
        <f>IF(OR(Y123=4,Y123=8,Y123=12,Y123=16,Y123=20),$CA$1,0)</f>
        <v>0</v>
      </c>
      <c r="BQ124" s="40">
        <f>IF(OR(Z123=4,Z123=8,Z123=12,Z123=16,Z123=20),$CA$1,0)</f>
        <v>0</v>
      </c>
      <c r="BR124" s="40">
        <f>IF(OR(AA123=4,AA123=8,AA123=12,AA123=16,AA123=20),$CA$1,0)</f>
        <v>0</v>
      </c>
      <c r="BS124" s="40">
        <f>IF(V120=20,$CB$1,0)</f>
        <v>0</v>
      </c>
      <c r="BT124" s="40">
        <f>IF(W120=20,$CB$1,0)</f>
        <v>0</v>
      </c>
      <c r="BU124" s="40">
        <f>IF(X120=20,$CB$1,0)</f>
        <v>0</v>
      </c>
      <c r="BV124" s="40">
        <f>IF(Y120=20,$CB$1,0)</f>
        <v>0</v>
      </c>
      <c r="BW124" s="40">
        <f>IF(Z120=20,$CB$1,0)</f>
        <v>0</v>
      </c>
      <c r="BX124" s="40">
        <f>IF(AA120=20,$CB$1,0)</f>
        <v>0</v>
      </c>
      <c r="BY124" s="41">
        <f t="shared" si="64"/>
        <v>0</v>
      </c>
      <c r="BZ124" s="41">
        <f t="shared" si="61"/>
        <v>0</v>
      </c>
      <c r="CA124" s="58">
        <f t="shared" si="65"/>
        <v>43941</v>
      </c>
      <c r="CB124" s="47">
        <f t="shared" si="63"/>
        <v>0</v>
      </c>
      <c r="CD124" s="48"/>
      <c r="CE124" s="49">
        <f>SUM(CE112:CE123)</f>
        <v>2756471.3041666667</v>
      </c>
    </row>
    <row r="125" spans="2:83" ht="15" hidden="1" outlineLevel="1" x14ac:dyDescent="0.2">
      <c r="B125" s="18">
        <f t="shared" si="36"/>
        <v>43948</v>
      </c>
      <c r="C125" s="17" t="s">
        <v>1</v>
      </c>
      <c r="D125" s="19">
        <f t="shared" si="37"/>
        <v>43954</v>
      </c>
      <c r="E125" s="20">
        <f t="shared" si="38"/>
        <v>4</v>
      </c>
      <c r="F125" s="21">
        <f t="shared" si="39"/>
        <v>2020</v>
      </c>
      <c r="G125" s="11">
        <f t="shared" si="67"/>
        <v>22</v>
      </c>
      <c r="H125" s="10">
        <f t="shared" si="67"/>
        <v>66</v>
      </c>
      <c r="I125" s="11"/>
      <c r="J125" s="11"/>
      <c r="K125" s="11"/>
      <c r="L125" s="11"/>
      <c r="M125" s="11"/>
      <c r="N125" s="11"/>
      <c r="O125" s="14"/>
      <c r="P125" s="14"/>
      <c r="Q125" s="14"/>
      <c r="R125" s="14"/>
      <c r="S125" s="14"/>
      <c r="T125" s="14"/>
      <c r="V125" s="22">
        <f t="shared" si="66"/>
        <v>1</v>
      </c>
      <c r="W125" s="22">
        <f t="shared" si="66"/>
        <v>0</v>
      </c>
      <c r="X125" s="22">
        <f t="shared" si="66"/>
        <v>0</v>
      </c>
      <c r="Y125" s="22">
        <f t="shared" si="66"/>
        <v>0</v>
      </c>
      <c r="Z125" s="22">
        <f t="shared" si="66"/>
        <v>0</v>
      </c>
      <c r="AA125" s="22">
        <f t="shared" si="66"/>
        <v>0</v>
      </c>
      <c r="AB125" s="1"/>
      <c r="AC125" s="5">
        <f t="shared" si="43"/>
        <v>61</v>
      </c>
      <c r="AD125" s="5">
        <f t="shared" si="44"/>
        <v>49</v>
      </c>
      <c r="AE125" s="5">
        <f t="shared" si="45"/>
        <v>31</v>
      </c>
      <c r="AF125" s="5">
        <f t="shared" si="46"/>
        <v>0</v>
      </c>
      <c r="AG125" s="5">
        <f t="shared" si="47"/>
        <v>0</v>
      </c>
      <c r="AH125" s="5">
        <f t="shared" si="48"/>
        <v>0</v>
      </c>
      <c r="AI125" s="5">
        <f t="shared" si="49"/>
        <v>0</v>
      </c>
      <c r="AJ125" s="5">
        <f t="shared" si="50"/>
        <v>0</v>
      </c>
      <c r="AK125" s="5">
        <f t="shared" si="51"/>
        <v>0</v>
      </c>
      <c r="AL125" s="5">
        <f t="shared" si="52"/>
        <v>0</v>
      </c>
      <c r="AM125" s="5">
        <f t="shared" si="53"/>
        <v>0</v>
      </c>
      <c r="AN125" s="5">
        <f t="shared" si="54"/>
        <v>0</v>
      </c>
      <c r="AO125" s="5">
        <f t="shared" si="55"/>
        <v>0</v>
      </c>
      <c r="AP125" s="5">
        <f t="shared" si="56"/>
        <v>0</v>
      </c>
      <c r="AQ125" s="5">
        <f t="shared" si="57"/>
        <v>0</v>
      </c>
      <c r="AR125" s="5">
        <f t="shared" si="58"/>
        <v>0</v>
      </c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M125" s="40">
        <f>IF(OR(V124=4,V124=8,V124=12,V124=16,V124=20),$CA$1,0)</f>
        <v>0</v>
      </c>
      <c r="BN125" s="40">
        <f>IF(OR(W124=4,W124=8,W124=12,W124=16,W124=20),$CA$1,0)</f>
        <v>0</v>
      </c>
      <c r="BO125" s="40">
        <f>IF(OR(X124=4,X124=8,X124=12,X124=16,X124=20),$CA$1,0)</f>
        <v>0</v>
      </c>
      <c r="BP125" s="40">
        <f>IF(OR(Y124=4,Y124=8,Y124=12,Y124=16,Y124=20),$CA$1,0)</f>
        <v>0</v>
      </c>
      <c r="BQ125" s="40">
        <f>IF(OR(Z124=4,Z124=8,Z124=12,Z124=16,Z124=20),$CA$1,0)</f>
        <v>0</v>
      </c>
      <c r="BR125" s="40">
        <f>IF(OR(AA124=4,AA124=8,AA124=12,AA124=16,AA124=20),$CA$1,0)</f>
        <v>0</v>
      </c>
      <c r="BS125" s="40">
        <f>IF(V121=20,$CB$1,0)</f>
        <v>0</v>
      </c>
      <c r="BT125" s="40">
        <f>IF(W121=20,$CB$1,0)</f>
        <v>0</v>
      </c>
      <c r="BU125" s="40">
        <f>IF(X121=20,$CB$1,0)</f>
        <v>0</v>
      </c>
      <c r="BV125" s="40">
        <f>IF(Y121=20,$CB$1,0)</f>
        <v>0</v>
      </c>
      <c r="BW125" s="40">
        <f>IF(Z121=20,$CB$1,0)</f>
        <v>0</v>
      </c>
      <c r="BX125" s="40">
        <f>IF(AA121=20,$CB$1,0)</f>
        <v>0</v>
      </c>
      <c r="BY125" s="41">
        <f t="shared" si="64"/>
        <v>0</v>
      </c>
      <c r="BZ125" s="41">
        <f t="shared" si="61"/>
        <v>0</v>
      </c>
      <c r="CA125" s="58">
        <f t="shared" si="65"/>
        <v>43948</v>
      </c>
      <c r="CB125" s="47">
        <f t="shared" si="63"/>
        <v>0</v>
      </c>
    </row>
    <row r="126" spans="2:83" ht="15" hidden="1" outlineLevel="1" x14ac:dyDescent="0.2">
      <c r="B126" s="18">
        <f t="shared" si="36"/>
        <v>43955</v>
      </c>
      <c r="C126" s="17" t="s">
        <v>1</v>
      </c>
      <c r="D126" s="19">
        <f t="shared" si="37"/>
        <v>43961</v>
      </c>
      <c r="E126" s="20">
        <f t="shared" si="38"/>
        <v>5</v>
      </c>
      <c r="F126" s="21">
        <f t="shared" si="39"/>
        <v>2020</v>
      </c>
      <c r="G126" s="11">
        <f t="shared" si="67"/>
        <v>22</v>
      </c>
      <c r="H126" s="10">
        <f t="shared" si="67"/>
        <v>66</v>
      </c>
      <c r="I126" s="11"/>
      <c r="J126" s="11"/>
      <c r="K126" s="11"/>
      <c r="L126" s="11"/>
      <c r="M126" s="11"/>
      <c r="N126" s="11"/>
      <c r="O126" s="14"/>
      <c r="P126" s="14"/>
      <c r="Q126" s="14"/>
      <c r="R126" s="14"/>
      <c r="S126" s="14"/>
      <c r="T126" s="14"/>
      <c r="V126" s="22">
        <f t="shared" si="66"/>
        <v>2</v>
      </c>
      <c r="W126" s="22">
        <f t="shared" si="66"/>
        <v>0</v>
      </c>
      <c r="X126" s="22">
        <f t="shared" si="66"/>
        <v>0</v>
      </c>
      <c r="Y126" s="22">
        <f t="shared" si="66"/>
        <v>0</v>
      </c>
      <c r="Z126" s="22">
        <f t="shared" si="66"/>
        <v>0</v>
      </c>
      <c r="AA126" s="22">
        <f t="shared" si="66"/>
        <v>0</v>
      </c>
      <c r="AB126" s="1"/>
      <c r="AC126" s="5">
        <f t="shared" si="43"/>
        <v>62</v>
      </c>
      <c r="AD126" s="5">
        <f t="shared" si="44"/>
        <v>50</v>
      </c>
      <c r="AE126" s="5">
        <f t="shared" si="45"/>
        <v>32</v>
      </c>
      <c r="AF126" s="5">
        <f t="shared" si="46"/>
        <v>0</v>
      </c>
      <c r="AG126" s="5">
        <f t="shared" si="47"/>
        <v>0</v>
      </c>
      <c r="AH126" s="5">
        <f t="shared" si="48"/>
        <v>0</v>
      </c>
      <c r="AI126" s="5">
        <f t="shared" si="49"/>
        <v>0</v>
      </c>
      <c r="AJ126" s="5">
        <f t="shared" si="50"/>
        <v>0</v>
      </c>
      <c r="AK126" s="5">
        <f t="shared" si="51"/>
        <v>0</v>
      </c>
      <c r="AL126" s="5">
        <f t="shared" si="52"/>
        <v>0</v>
      </c>
      <c r="AM126" s="5">
        <f t="shared" si="53"/>
        <v>0</v>
      </c>
      <c r="AN126" s="5">
        <f t="shared" si="54"/>
        <v>0</v>
      </c>
      <c r="AO126" s="5">
        <f t="shared" si="55"/>
        <v>0</v>
      </c>
      <c r="AP126" s="5">
        <f t="shared" si="56"/>
        <v>0</v>
      </c>
      <c r="AQ126" s="5">
        <f t="shared" si="57"/>
        <v>0</v>
      </c>
      <c r="AR126" s="5">
        <f t="shared" si="58"/>
        <v>0</v>
      </c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M126" s="40">
        <f>IF(OR(V125=4,V125=8,V125=12,V125=16,V125=20),$CA$1,0)</f>
        <v>0</v>
      </c>
      <c r="BN126" s="40">
        <f>IF(OR(W125=4,W125=8,W125=12,W125=16,W125=20),$CA$1,0)</f>
        <v>0</v>
      </c>
      <c r="BO126" s="40">
        <f>IF(OR(X125=4,X125=8,X125=12,X125=16,X125=20),$CA$1,0)</f>
        <v>0</v>
      </c>
      <c r="BP126" s="40">
        <f>IF(OR(Y125=4,Y125=8,Y125=12,Y125=16,Y125=20),$CA$1,0)</f>
        <v>0</v>
      </c>
      <c r="BQ126" s="40">
        <f>IF(OR(Z125=4,Z125=8,Z125=12,Z125=16,Z125=20),$CA$1,0)</f>
        <v>0</v>
      </c>
      <c r="BR126" s="40">
        <f>IF(OR(AA125=4,AA125=8,AA125=12,AA125=16,AA125=20),$CA$1,0)</f>
        <v>0</v>
      </c>
      <c r="BS126" s="40">
        <f>IF(V122=20,$CB$1,0)</f>
        <v>0</v>
      </c>
      <c r="BT126" s="40">
        <f>IF(W122=20,$CB$1,0)</f>
        <v>0</v>
      </c>
      <c r="BU126" s="40">
        <f>IF(X122=20,$CB$1,0)</f>
        <v>0</v>
      </c>
      <c r="BV126" s="40">
        <f>IF(Y122=20,$CB$1,0)</f>
        <v>0</v>
      </c>
      <c r="BW126" s="40">
        <f>IF(Z122=20,$CB$1,0)</f>
        <v>0</v>
      </c>
      <c r="BX126" s="40">
        <f>IF(AA122=20,$CB$1,0)</f>
        <v>0</v>
      </c>
      <c r="BY126" s="41">
        <f t="shared" si="64"/>
        <v>0</v>
      </c>
      <c r="BZ126" s="41">
        <f t="shared" si="61"/>
        <v>0</v>
      </c>
      <c r="CA126" s="58">
        <f t="shared" si="65"/>
        <v>43955</v>
      </c>
      <c r="CB126" s="47">
        <f t="shared" si="63"/>
        <v>0</v>
      </c>
    </row>
    <row r="127" spans="2:83" ht="15" hidden="1" outlineLevel="1" x14ac:dyDescent="0.2">
      <c r="B127" s="18">
        <f t="shared" si="36"/>
        <v>43962</v>
      </c>
      <c r="C127" s="17" t="s">
        <v>1</v>
      </c>
      <c r="D127" s="19">
        <f t="shared" si="37"/>
        <v>43968</v>
      </c>
      <c r="E127" s="20">
        <f t="shared" si="38"/>
        <v>5</v>
      </c>
      <c r="F127" s="21">
        <f t="shared" si="39"/>
        <v>2020</v>
      </c>
      <c r="G127" s="11">
        <f t="shared" si="67"/>
        <v>22</v>
      </c>
      <c r="H127" s="10">
        <f t="shared" si="67"/>
        <v>66</v>
      </c>
      <c r="I127" s="11"/>
      <c r="J127" s="11"/>
      <c r="K127" s="11"/>
      <c r="L127" s="11"/>
      <c r="M127" s="11"/>
      <c r="N127" s="11"/>
      <c r="O127" s="14"/>
      <c r="P127" s="14"/>
      <c r="Q127" s="14"/>
      <c r="R127" s="14"/>
      <c r="S127" s="14"/>
      <c r="T127" s="14"/>
      <c r="V127" s="22">
        <f t="shared" si="66"/>
        <v>3</v>
      </c>
      <c r="W127" s="22">
        <f t="shared" si="66"/>
        <v>0</v>
      </c>
      <c r="X127" s="22">
        <f t="shared" si="66"/>
        <v>0</v>
      </c>
      <c r="Y127" s="22">
        <f t="shared" si="66"/>
        <v>0</v>
      </c>
      <c r="Z127" s="22">
        <f t="shared" si="66"/>
        <v>0</v>
      </c>
      <c r="AA127" s="22">
        <f t="shared" si="66"/>
        <v>0</v>
      </c>
      <c r="AB127" s="1"/>
      <c r="AC127" s="5">
        <f t="shared" si="43"/>
        <v>63</v>
      </c>
      <c r="AD127" s="5">
        <f t="shared" si="44"/>
        <v>51</v>
      </c>
      <c r="AE127" s="5">
        <f t="shared" si="45"/>
        <v>33</v>
      </c>
      <c r="AF127" s="5">
        <f t="shared" si="46"/>
        <v>0</v>
      </c>
      <c r="AG127" s="5">
        <f t="shared" si="47"/>
        <v>0</v>
      </c>
      <c r="AH127" s="5">
        <f t="shared" si="48"/>
        <v>0</v>
      </c>
      <c r="AI127" s="5">
        <f t="shared" si="49"/>
        <v>0</v>
      </c>
      <c r="AJ127" s="5">
        <f t="shared" si="50"/>
        <v>0</v>
      </c>
      <c r="AK127" s="5">
        <f t="shared" si="51"/>
        <v>0</v>
      </c>
      <c r="AL127" s="5">
        <f t="shared" si="52"/>
        <v>0</v>
      </c>
      <c r="AM127" s="5">
        <f t="shared" si="53"/>
        <v>0</v>
      </c>
      <c r="AN127" s="5">
        <f t="shared" si="54"/>
        <v>0</v>
      </c>
      <c r="AO127" s="5">
        <f t="shared" si="55"/>
        <v>0</v>
      </c>
      <c r="AP127" s="5">
        <f t="shared" si="56"/>
        <v>0</v>
      </c>
      <c r="AQ127" s="5">
        <f t="shared" si="57"/>
        <v>0</v>
      </c>
      <c r="AR127" s="5">
        <f t="shared" si="58"/>
        <v>0</v>
      </c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M127" s="40">
        <f>IF(OR(V126=4,V126=8,V126=12,V126=16,V126=20),$CA$1,0)</f>
        <v>0</v>
      </c>
      <c r="BN127" s="40">
        <f>IF(OR(W126=4,W126=8,W126=12,W126=16,W126=20),$CA$1,0)</f>
        <v>0</v>
      </c>
      <c r="BO127" s="40">
        <f>IF(OR(X126=4,X126=8,X126=12,X126=16,X126=20),$CA$1,0)</f>
        <v>0</v>
      </c>
      <c r="BP127" s="40">
        <f>IF(OR(Y126=4,Y126=8,Y126=12,Y126=16,Y126=20),$CA$1,0)</f>
        <v>0</v>
      </c>
      <c r="BQ127" s="40">
        <f>IF(OR(Z126=4,Z126=8,Z126=12,Z126=16,Z126=20),$CA$1,0)</f>
        <v>0</v>
      </c>
      <c r="BR127" s="40">
        <f>IF(OR(AA126=4,AA126=8,AA126=12,AA126=16,AA126=20),$CA$1,0)</f>
        <v>0</v>
      </c>
      <c r="BS127" s="40">
        <f>IF(V123=20,$CB$1,0)</f>
        <v>0</v>
      </c>
      <c r="BT127" s="40">
        <f>IF(W123=20,$CB$1,0)</f>
        <v>0</v>
      </c>
      <c r="BU127" s="40">
        <f>IF(X123=20,$CB$1,0)</f>
        <v>0</v>
      </c>
      <c r="BV127" s="40">
        <f>IF(Y123=20,$CB$1,0)</f>
        <v>0</v>
      </c>
      <c r="BW127" s="40">
        <f>IF(Z123=20,$CB$1,0)</f>
        <v>0</v>
      </c>
      <c r="BX127" s="40">
        <f>IF(AA123=20,$CB$1,0)</f>
        <v>0</v>
      </c>
      <c r="BY127" s="41">
        <f t="shared" si="64"/>
        <v>0</v>
      </c>
      <c r="BZ127" s="41">
        <f t="shared" si="61"/>
        <v>0</v>
      </c>
      <c r="CA127" s="58">
        <f t="shared" si="65"/>
        <v>43962</v>
      </c>
      <c r="CB127" s="47">
        <f t="shared" si="63"/>
        <v>0</v>
      </c>
    </row>
    <row r="128" spans="2:83" ht="15" hidden="1" outlineLevel="1" x14ac:dyDescent="0.2">
      <c r="B128" s="18">
        <f t="shared" si="36"/>
        <v>43969</v>
      </c>
      <c r="C128" s="17" t="s">
        <v>1</v>
      </c>
      <c r="D128" s="19">
        <f t="shared" si="37"/>
        <v>43975</v>
      </c>
      <c r="E128" s="20">
        <f t="shared" si="38"/>
        <v>5</v>
      </c>
      <c r="F128" s="21">
        <f t="shared" si="39"/>
        <v>2020</v>
      </c>
      <c r="G128" s="11">
        <f t="shared" si="67"/>
        <v>22</v>
      </c>
      <c r="H128" s="10">
        <f t="shared" si="67"/>
        <v>66</v>
      </c>
      <c r="I128" s="11"/>
      <c r="J128" s="11"/>
      <c r="K128" s="11"/>
      <c r="L128" s="11"/>
      <c r="M128" s="11"/>
      <c r="N128" s="11"/>
      <c r="O128" s="14"/>
      <c r="P128" s="14"/>
      <c r="Q128" s="14"/>
      <c r="R128" s="14"/>
      <c r="S128" s="14"/>
      <c r="T128" s="14"/>
      <c r="V128" s="22">
        <f t="shared" si="66"/>
        <v>4</v>
      </c>
      <c r="W128" s="22">
        <f t="shared" si="66"/>
        <v>0</v>
      </c>
      <c r="X128" s="22">
        <f t="shared" si="66"/>
        <v>0</v>
      </c>
      <c r="Y128" s="22">
        <f t="shared" si="66"/>
        <v>0</v>
      </c>
      <c r="Z128" s="22">
        <f t="shared" si="66"/>
        <v>0</v>
      </c>
      <c r="AA128" s="22">
        <f t="shared" si="66"/>
        <v>0</v>
      </c>
      <c r="AB128" s="1"/>
      <c r="AC128" s="5">
        <f t="shared" si="43"/>
        <v>64</v>
      </c>
      <c r="AD128" s="5">
        <f t="shared" si="44"/>
        <v>52</v>
      </c>
      <c r="AE128" s="5">
        <f t="shared" si="45"/>
        <v>34</v>
      </c>
      <c r="AF128" s="5">
        <f t="shared" si="46"/>
        <v>0</v>
      </c>
      <c r="AG128" s="5">
        <f t="shared" si="47"/>
        <v>0</v>
      </c>
      <c r="AH128" s="5">
        <f t="shared" si="48"/>
        <v>0</v>
      </c>
      <c r="AI128" s="5">
        <f t="shared" si="49"/>
        <v>0</v>
      </c>
      <c r="AJ128" s="5">
        <f t="shared" si="50"/>
        <v>0</v>
      </c>
      <c r="AK128" s="5">
        <f t="shared" si="51"/>
        <v>0</v>
      </c>
      <c r="AL128" s="5">
        <f t="shared" si="52"/>
        <v>0</v>
      </c>
      <c r="AM128" s="5">
        <f t="shared" si="53"/>
        <v>0</v>
      </c>
      <c r="AN128" s="5">
        <f t="shared" si="54"/>
        <v>0</v>
      </c>
      <c r="AO128" s="5">
        <f t="shared" si="55"/>
        <v>0</v>
      </c>
      <c r="AP128" s="5">
        <f t="shared" si="56"/>
        <v>0</v>
      </c>
      <c r="AQ128" s="5">
        <f t="shared" si="57"/>
        <v>0</v>
      </c>
      <c r="AR128" s="5">
        <f t="shared" si="58"/>
        <v>0</v>
      </c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M128" s="40">
        <f>IF(OR(V127=4,V127=8,V127=12,V127=16,V127=20),$CA$1,0)</f>
        <v>0</v>
      </c>
      <c r="BN128" s="40">
        <f>IF(OR(W127=4,W127=8,W127=12,W127=16,W127=20),$CA$1,0)</f>
        <v>0</v>
      </c>
      <c r="BO128" s="40">
        <f>IF(OR(X127=4,X127=8,X127=12,X127=16,X127=20),$CA$1,0)</f>
        <v>0</v>
      </c>
      <c r="BP128" s="40">
        <f>IF(OR(Y127=4,Y127=8,Y127=12,Y127=16,Y127=20),$CA$1,0)</f>
        <v>0</v>
      </c>
      <c r="BQ128" s="40">
        <f>IF(OR(Z127=4,Z127=8,Z127=12,Z127=16,Z127=20),$CA$1,0)</f>
        <v>0</v>
      </c>
      <c r="BR128" s="40">
        <f>IF(OR(AA127=4,AA127=8,AA127=12,AA127=16,AA127=20),$CA$1,0)</f>
        <v>0</v>
      </c>
      <c r="BS128" s="40">
        <f>IF(V124=20,$CB$1,0)</f>
        <v>0</v>
      </c>
      <c r="BT128" s="40">
        <f>IF(W124=20,$CB$1,0)</f>
        <v>0</v>
      </c>
      <c r="BU128" s="40">
        <f>IF(X124=20,$CB$1,0)</f>
        <v>0</v>
      </c>
      <c r="BV128" s="40">
        <f>IF(Y124=20,$CB$1,0)</f>
        <v>0</v>
      </c>
      <c r="BW128" s="40">
        <f>IF(Z124=20,$CB$1,0)</f>
        <v>0</v>
      </c>
      <c r="BX128" s="40">
        <f>IF(AA124=20,$CB$1,0)</f>
        <v>0</v>
      </c>
      <c r="BY128" s="41">
        <f t="shared" si="64"/>
        <v>0</v>
      </c>
      <c r="BZ128" s="41">
        <f t="shared" si="61"/>
        <v>0</v>
      </c>
      <c r="CA128" s="58">
        <f t="shared" si="65"/>
        <v>43969</v>
      </c>
      <c r="CB128" s="47">
        <f t="shared" si="63"/>
        <v>0</v>
      </c>
    </row>
    <row r="129" spans="2:80" ht="15" hidden="1" outlineLevel="1" x14ac:dyDescent="0.2">
      <c r="B129" s="18">
        <f t="shared" si="36"/>
        <v>43976</v>
      </c>
      <c r="C129" s="17" t="s">
        <v>1</v>
      </c>
      <c r="D129" s="19">
        <f t="shared" si="37"/>
        <v>43982</v>
      </c>
      <c r="E129" s="20">
        <f t="shared" si="38"/>
        <v>5</v>
      </c>
      <c r="F129" s="21">
        <f t="shared" si="39"/>
        <v>2020</v>
      </c>
      <c r="G129" s="11">
        <f t="shared" si="67"/>
        <v>22</v>
      </c>
      <c r="H129" s="10">
        <f t="shared" si="67"/>
        <v>66</v>
      </c>
      <c r="I129" s="11"/>
      <c r="J129" s="11"/>
      <c r="K129" s="11"/>
      <c r="L129" s="11"/>
      <c r="M129" s="11"/>
      <c r="N129" s="11"/>
      <c r="O129" s="14"/>
      <c r="P129" s="14"/>
      <c r="Q129" s="14"/>
      <c r="R129" s="14"/>
      <c r="S129" s="14"/>
      <c r="T129" s="14"/>
      <c r="V129" s="22">
        <f t="shared" si="66"/>
        <v>5</v>
      </c>
      <c r="W129" s="22">
        <f t="shared" si="66"/>
        <v>0</v>
      </c>
      <c r="X129" s="22">
        <f t="shared" si="66"/>
        <v>0</v>
      </c>
      <c r="Y129" s="22">
        <f t="shared" si="66"/>
        <v>0</v>
      </c>
      <c r="Z129" s="22">
        <f t="shared" si="66"/>
        <v>0</v>
      </c>
      <c r="AA129" s="22">
        <f t="shared" si="66"/>
        <v>0</v>
      </c>
      <c r="AB129" s="1"/>
      <c r="AC129" s="5">
        <f t="shared" si="43"/>
        <v>65</v>
      </c>
      <c r="AD129" s="5">
        <f t="shared" si="44"/>
        <v>53</v>
      </c>
      <c r="AE129" s="5">
        <f t="shared" si="45"/>
        <v>35</v>
      </c>
      <c r="AF129" s="5">
        <f t="shared" si="46"/>
        <v>0</v>
      </c>
      <c r="AG129" s="5">
        <f t="shared" si="47"/>
        <v>0</v>
      </c>
      <c r="AH129" s="5">
        <f t="shared" si="48"/>
        <v>0</v>
      </c>
      <c r="AI129" s="5">
        <f t="shared" si="49"/>
        <v>0</v>
      </c>
      <c r="AJ129" s="5">
        <f t="shared" si="50"/>
        <v>0</v>
      </c>
      <c r="AK129" s="5">
        <f t="shared" si="51"/>
        <v>0</v>
      </c>
      <c r="AL129" s="5">
        <f t="shared" si="52"/>
        <v>0</v>
      </c>
      <c r="AM129" s="5">
        <f t="shared" si="53"/>
        <v>0</v>
      </c>
      <c r="AN129" s="5">
        <f t="shared" si="54"/>
        <v>0</v>
      </c>
      <c r="AO129" s="5">
        <f t="shared" si="55"/>
        <v>0</v>
      </c>
      <c r="AP129" s="5">
        <f t="shared" si="56"/>
        <v>0</v>
      </c>
      <c r="AQ129" s="5">
        <f t="shared" si="57"/>
        <v>0</v>
      </c>
      <c r="AR129" s="5">
        <f t="shared" si="58"/>
        <v>0</v>
      </c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M129" s="40">
        <f>IF(OR(V128=4,V128=8,V128=12,V128=16,V128=20),$CA$1,0)</f>
        <v>161491.14583333334</v>
      </c>
      <c r="BN129" s="40">
        <f>IF(OR(W128=4,W128=8,W128=12,W128=16,W128=20),$CA$1,0)</f>
        <v>0</v>
      </c>
      <c r="BO129" s="40">
        <f>IF(OR(X128=4,X128=8,X128=12,X128=16,X128=20),$CA$1,0)</f>
        <v>0</v>
      </c>
      <c r="BP129" s="40">
        <f>IF(OR(Y128=4,Y128=8,Y128=12,Y128=16,Y128=20),$CA$1,0)</f>
        <v>0</v>
      </c>
      <c r="BQ129" s="40">
        <f>IF(OR(Z128=4,Z128=8,Z128=12,Z128=16,Z128=20),$CA$1,0)</f>
        <v>0</v>
      </c>
      <c r="BR129" s="40">
        <f>IF(OR(AA128=4,AA128=8,AA128=12,AA128=16,AA128=20),$CA$1,0)</f>
        <v>0</v>
      </c>
      <c r="BS129" s="40">
        <f>IF(V125=20,$CB$1,0)</f>
        <v>0</v>
      </c>
      <c r="BT129" s="40">
        <f>IF(W125=20,$CB$1,0)</f>
        <v>0</v>
      </c>
      <c r="BU129" s="40">
        <f>IF(X125=20,$CB$1,0)</f>
        <v>0</v>
      </c>
      <c r="BV129" s="40">
        <f>IF(Y125=20,$CB$1,0)</f>
        <v>0</v>
      </c>
      <c r="BW129" s="40">
        <f>IF(Z125=20,$CB$1,0)</f>
        <v>0</v>
      </c>
      <c r="BX129" s="40">
        <f>IF(AA125=20,$CB$1,0)</f>
        <v>0</v>
      </c>
      <c r="BY129" s="41">
        <f t="shared" si="64"/>
        <v>161491.14583333334</v>
      </c>
      <c r="BZ129" s="41">
        <f t="shared" si="61"/>
        <v>161491.14583333334</v>
      </c>
      <c r="CA129" s="58">
        <f t="shared" si="65"/>
        <v>43976</v>
      </c>
      <c r="CB129" s="47">
        <f t="shared" si="63"/>
        <v>161491.14583333334</v>
      </c>
    </row>
    <row r="130" spans="2:80" ht="15" hidden="1" outlineLevel="1" x14ac:dyDescent="0.2">
      <c r="B130" s="18">
        <f t="shared" si="36"/>
        <v>43983</v>
      </c>
      <c r="C130" s="17" t="s">
        <v>1</v>
      </c>
      <c r="D130" s="19">
        <f t="shared" si="37"/>
        <v>43989</v>
      </c>
      <c r="E130" s="20">
        <f t="shared" si="38"/>
        <v>6</v>
      </c>
      <c r="F130" s="21">
        <f t="shared" si="39"/>
        <v>2020</v>
      </c>
      <c r="G130" s="11">
        <f t="shared" si="67"/>
        <v>22</v>
      </c>
      <c r="H130" s="10">
        <f t="shared" si="67"/>
        <v>66</v>
      </c>
      <c r="I130" s="11"/>
      <c r="J130" s="11"/>
      <c r="K130" s="11"/>
      <c r="L130" s="11"/>
      <c r="M130" s="11"/>
      <c r="N130" s="11"/>
      <c r="O130" s="14"/>
      <c r="P130" s="14"/>
      <c r="Q130" s="14"/>
      <c r="R130" s="14"/>
      <c r="S130" s="14"/>
      <c r="T130" s="14"/>
      <c r="V130" s="22">
        <f t="shared" si="66"/>
        <v>6</v>
      </c>
      <c r="W130" s="22">
        <f t="shared" si="66"/>
        <v>0</v>
      </c>
      <c r="X130" s="22">
        <f t="shared" si="66"/>
        <v>0</v>
      </c>
      <c r="Y130" s="22">
        <f t="shared" si="66"/>
        <v>0</v>
      </c>
      <c r="Z130" s="22">
        <f t="shared" si="66"/>
        <v>0</v>
      </c>
      <c r="AA130" s="22">
        <f t="shared" si="66"/>
        <v>0</v>
      </c>
      <c r="AB130" s="1"/>
      <c r="AC130" s="5">
        <f t="shared" si="43"/>
        <v>66</v>
      </c>
      <c r="AD130" s="5">
        <f t="shared" si="44"/>
        <v>54</v>
      </c>
      <c r="AE130" s="5">
        <f t="shared" si="45"/>
        <v>36</v>
      </c>
      <c r="AF130" s="5">
        <f t="shared" si="46"/>
        <v>0</v>
      </c>
      <c r="AG130" s="5">
        <f t="shared" si="47"/>
        <v>0</v>
      </c>
      <c r="AH130" s="5">
        <f t="shared" si="48"/>
        <v>0</v>
      </c>
      <c r="AI130" s="5">
        <f t="shared" si="49"/>
        <v>0</v>
      </c>
      <c r="AJ130" s="5">
        <f t="shared" si="50"/>
        <v>0</v>
      </c>
      <c r="AK130" s="5">
        <f t="shared" si="51"/>
        <v>0</v>
      </c>
      <c r="AL130" s="5">
        <f t="shared" si="52"/>
        <v>0</v>
      </c>
      <c r="AM130" s="5">
        <f t="shared" si="53"/>
        <v>0</v>
      </c>
      <c r="AN130" s="5">
        <f t="shared" si="54"/>
        <v>0</v>
      </c>
      <c r="AO130" s="5">
        <f t="shared" si="55"/>
        <v>0</v>
      </c>
      <c r="AP130" s="5">
        <f t="shared" si="56"/>
        <v>0</v>
      </c>
      <c r="AQ130" s="5">
        <f t="shared" si="57"/>
        <v>0</v>
      </c>
      <c r="AR130" s="5">
        <f t="shared" si="58"/>
        <v>0</v>
      </c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M130" s="40">
        <f>IF(OR(V129=4,V129=8,V129=12,V129=16,V129=20),$CA$1,0)</f>
        <v>0</v>
      </c>
      <c r="BN130" s="40">
        <f>IF(OR(W129=4,W129=8,W129=12,W129=16,W129=20),$CA$1,0)</f>
        <v>0</v>
      </c>
      <c r="BO130" s="40">
        <f>IF(OR(X129=4,X129=8,X129=12,X129=16,X129=20),$CA$1,0)</f>
        <v>0</v>
      </c>
      <c r="BP130" s="40">
        <f>IF(OR(Y129=4,Y129=8,Y129=12,Y129=16,Y129=20),$CA$1,0)</f>
        <v>0</v>
      </c>
      <c r="BQ130" s="40">
        <f>IF(OR(Z129=4,Z129=8,Z129=12,Z129=16,Z129=20),$CA$1,0)</f>
        <v>0</v>
      </c>
      <c r="BR130" s="40">
        <f>IF(OR(AA129=4,AA129=8,AA129=12,AA129=16,AA129=20),$CA$1,0)</f>
        <v>0</v>
      </c>
      <c r="BS130" s="40">
        <f>IF(V126=20,$CB$1,0)</f>
        <v>0</v>
      </c>
      <c r="BT130" s="40">
        <f>IF(W126=20,$CB$1,0)</f>
        <v>0</v>
      </c>
      <c r="BU130" s="40">
        <f>IF(X126=20,$CB$1,0)</f>
        <v>0</v>
      </c>
      <c r="BV130" s="40">
        <f>IF(Y126=20,$CB$1,0)</f>
        <v>0</v>
      </c>
      <c r="BW130" s="40">
        <f>IF(Z126=20,$CB$1,0)</f>
        <v>0</v>
      </c>
      <c r="BX130" s="40">
        <f>IF(AA126=20,$CB$1,0)</f>
        <v>0</v>
      </c>
      <c r="BY130" s="41">
        <f t="shared" si="64"/>
        <v>0</v>
      </c>
      <c r="BZ130" s="41">
        <f t="shared" si="61"/>
        <v>0</v>
      </c>
      <c r="CA130" s="58">
        <f t="shared" si="65"/>
        <v>43983</v>
      </c>
      <c r="CB130" s="47">
        <f t="shared" si="63"/>
        <v>0</v>
      </c>
    </row>
    <row r="131" spans="2:80" ht="15" hidden="1" outlineLevel="1" x14ac:dyDescent="0.2">
      <c r="B131" s="18">
        <f t="shared" si="36"/>
        <v>43990</v>
      </c>
      <c r="C131" s="17" t="s">
        <v>1</v>
      </c>
      <c r="D131" s="19">
        <f t="shared" si="37"/>
        <v>43996</v>
      </c>
      <c r="E131" s="20">
        <f t="shared" si="38"/>
        <v>6</v>
      </c>
      <c r="F131" s="21">
        <f t="shared" si="39"/>
        <v>2020</v>
      </c>
      <c r="G131" s="11">
        <f t="shared" si="67"/>
        <v>22</v>
      </c>
      <c r="H131" s="10">
        <f t="shared" si="67"/>
        <v>66</v>
      </c>
      <c r="I131" s="11"/>
      <c r="J131" s="11"/>
      <c r="K131" s="11"/>
      <c r="L131" s="11"/>
      <c r="M131" s="11"/>
      <c r="N131" s="11"/>
      <c r="O131" s="14"/>
      <c r="P131" s="14"/>
      <c r="Q131" s="14"/>
      <c r="R131" s="14"/>
      <c r="S131" s="14"/>
      <c r="T131" s="14"/>
      <c r="V131" s="22">
        <f t="shared" si="66"/>
        <v>7</v>
      </c>
      <c r="W131" s="22">
        <f t="shared" si="66"/>
        <v>0</v>
      </c>
      <c r="X131" s="22">
        <f t="shared" si="66"/>
        <v>0</v>
      </c>
      <c r="Y131" s="22">
        <f t="shared" si="66"/>
        <v>0</v>
      </c>
      <c r="Z131" s="22">
        <f t="shared" si="66"/>
        <v>0</v>
      </c>
      <c r="AA131" s="22">
        <f t="shared" si="66"/>
        <v>0</v>
      </c>
      <c r="AB131" s="1"/>
      <c r="AC131" s="5">
        <f t="shared" si="43"/>
        <v>0</v>
      </c>
      <c r="AD131" s="5">
        <f t="shared" si="44"/>
        <v>55</v>
      </c>
      <c r="AE131" s="5">
        <f t="shared" si="45"/>
        <v>37</v>
      </c>
      <c r="AF131" s="5">
        <f t="shared" si="46"/>
        <v>0</v>
      </c>
      <c r="AG131" s="5">
        <f t="shared" si="47"/>
        <v>0</v>
      </c>
      <c r="AH131" s="5">
        <f t="shared" si="48"/>
        <v>0</v>
      </c>
      <c r="AI131" s="5">
        <f t="shared" si="49"/>
        <v>0</v>
      </c>
      <c r="AJ131" s="5">
        <f t="shared" si="50"/>
        <v>0</v>
      </c>
      <c r="AK131" s="5">
        <f t="shared" si="51"/>
        <v>0</v>
      </c>
      <c r="AL131" s="5">
        <f t="shared" si="52"/>
        <v>0</v>
      </c>
      <c r="AM131" s="5">
        <f t="shared" si="53"/>
        <v>0</v>
      </c>
      <c r="AN131" s="5">
        <f t="shared" si="54"/>
        <v>0</v>
      </c>
      <c r="AO131" s="5">
        <f t="shared" si="55"/>
        <v>0</v>
      </c>
      <c r="AP131" s="5">
        <f t="shared" si="56"/>
        <v>0</v>
      </c>
      <c r="AQ131" s="5">
        <f t="shared" si="57"/>
        <v>0</v>
      </c>
      <c r="AR131" s="5">
        <f t="shared" si="58"/>
        <v>0</v>
      </c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M131" s="40">
        <f>IF(OR(V130=4,V130=8,V130=12,V130=16,V130=20),$CA$1,0)</f>
        <v>0</v>
      </c>
      <c r="BN131" s="40">
        <f>IF(OR(W130=4,W130=8,W130=12,W130=16,W130=20),$CA$1,0)</f>
        <v>0</v>
      </c>
      <c r="BO131" s="40">
        <f>IF(OR(X130=4,X130=8,X130=12,X130=16,X130=20),$CA$1,0)</f>
        <v>0</v>
      </c>
      <c r="BP131" s="40">
        <f>IF(OR(Y130=4,Y130=8,Y130=12,Y130=16,Y130=20),$CA$1,0)</f>
        <v>0</v>
      </c>
      <c r="BQ131" s="40">
        <f>IF(OR(Z130=4,Z130=8,Z130=12,Z130=16,Z130=20),$CA$1,0)</f>
        <v>0</v>
      </c>
      <c r="BR131" s="40">
        <f>IF(OR(AA130=4,AA130=8,AA130=12,AA130=16,AA130=20),$CA$1,0)</f>
        <v>0</v>
      </c>
      <c r="BS131" s="40">
        <f>IF(V127=20,$CB$1,0)</f>
        <v>0</v>
      </c>
      <c r="BT131" s="40">
        <f>IF(W127=20,$CB$1,0)</f>
        <v>0</v>
      </c>
      <c r="BU131" s="40">
        <f>IF(X127=20,$CB$1,0)</f>
        <v>0</v>
      </c>
      <c r="BV131" s="40">
        <f>IF(Y127=20,$CB$1,0)</f>
        <v>0</v>
      </c>
      <c r="BW131" s="40">
        <f>IF(Z127=20,$CB$1,0)</f>
        <v>0</v>
      </c>
      <c r="BX131" s="40">
        <f>IF(AA127=20,$CB$1,0)</f>
        <v>0</v>
      </c>
      <c r="BY131" s="41">
        <f t="shared" si="64"/>
        <v>0</v>
      </c>
      <c r="BZ131" s="41">
        <f t="shared" si="61"/>
        <v>0</v>
      </c>
      <c r="CA131" s="58">
        <f t="shared" si="65"/>
        <v>43990</v>
      </c>
      <c r="CB131" s="47">
        <f t="shared" si="63"/>
        <v>0</v>
      </c>
    </row>
    <row r="132" spans="2:80" ht="15" hidden="1" outlineLevel="1" x14ac:dyDescent="0.2">
      <c r="B132" s="18">
        <f t="shared" si="36"/>
        <v>43997</v>
      </c>
      <c r="C132" s="17" t="s">
        <v>1</v>
      </c>
      <c r="D132" s="19">
        <f t="shared" si="37"/>
        <v>44003</v>
      </c>
      <c r="E132" s="20">
        <f t="shared" si="38"/>
        <v>6</v>
      </c>
      <c r="F132" s="21">
        <f t="shared" si="39"/>
        <v>2020</v>
      </c>
      <c r="G132" s="11">
        <f t="shared" si="67"/>
        <v>22</v>
      </c>
      <c r="H132" s="10">
        <f t="shared" si="67"/>
        <v>66</v>
      </c>
      <c r="I132" s="11"/>
      <c r="J132" s="11"/>
      <c r="K132" s="11"/>
      <c r="L132" s="11"/>
      <c r="M132" s="11"/>
      <c r="N132" s="11"/>
      <c r="O132" s="14"/>
      <c r="P132" s="14"/>
      <c r="Q132" s="14"/>
      <c r="R132" s="14"/>
      <c r="S132" s="14"/>
      <c r="T132" s="14"/>
      <c r="V132" s="22">
        <f t="shared" ref="V132:AA147" si="68">IF(I132&gt;0,I132,IF(O132=1,$B132+2,IF(O131=1,1,IF(O131=2,0,IF(V131=$G131,0,(IF(V131&gt;=1,V131+1,0)))))))</f>
        <v>8</v>
      </c>
      <c r="W132" s="22">
        <f t="shared" si="68"/>
        <v>0</v>
      </c>
      <c r="X132" s="22">
        <f t="shared" si="68"/>
        <v>0</v>
      </c>
      <c r="Y132" s="22">
        <f t="shared" si="68"/>
        <v>0</v>
      </c>
      <c r="Z132" s="22">
        <f t="shared" si="68"/>
        <v>0</v>
      </c>
      <c r="AA132" s="22">
        <f t="shared" si="68"/>
        <v>0</v>
      </c>
      <c r="AB132" s="1"/>
      <c r="AC132" s="5">
        <f t="shared" si="43"/>
        <v>0</v>
      </c>
      <c r="AD132" s="5">
        <f t="shared" si="44"/>
        <v>56</v>
      </c>
      <c r="AE132" s="5">
        <f t="shared" si="45"/>
        <v>38</v>
      </c>
      <c r="AF132" s="5">
        <f t="shared" si="46"/>
        <v>0</v>
      </c>
      <c r="AG132" s="5">
        <f t="shared" si="47"/>
        <v>0</v>
      </c>
      <c r="AH132" s="5">
        <f t="shared" si="48"/>
        <v>0</v>
      </c>
      <c r="AI132" s="5">
        <f t="shared" si="49"/>
        <v>0</v>
      </c>
      <c r="AJ132" s="5">
        <f t="shared" si="50"/>
        <v>0</v>
      </c>
      <c r="AK132" s="5">
        <f t="shared" si="51"/>
        <v>0</v>
      </c>
      <c r="AL132" s="5">
        <f t="shared" si="52"/>
        <v>0</v>
      </c>
      <c r="AM132" s="5">
        <f t="shared" si="53"/>
        <v>0</v>
      </c>
      <c r="AN132" s="5">
        <f t="shared" si="54"/>
        <v>0</v>
      </c>
      <c r="AO132" s="5">
        <f t="shared" si="55"/>
        <v>0</v>
      </c>
      <c r="AP132" s="5">
        <f t="shared" si="56"/>
        <v>0</v>
      </c>
      <c r="AQ132" s="5">
        <f t="shared" si="57"/>
        <v>0</v>
      </c>
      <c r="AR132" s="5">
        <f t="shared" si="58"/>
        <v>0</v>
      </c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M132" s="40">
        <f>IF(OR(V131=4,V131=8,V131=12,V131=16,V131=20),$CA$1,0)</f>
        <v>0</v>
      </c>
      <c r="BN132" s="40">
        <f>IF(OR(W131=4,W131=8,W131=12,W131=16,W131=20),$CA$1,0)</f>
        <v>0</v>
      </c>
      <c r="BO132" s="40">
        <f>IF(OR(X131=4,X131=8,X131=12,X131=16,X131=20),$CA$1,0)</f>
        <v>0</v>
      </c>
      <c r="BP132" s="40">
        <f>IF(OR(Y131=4,Y131=8,Y131=12,Y131=16,Y131=20),$CA$1,0)</f>
        <v>0</v>
      </c>
      <c r="BQ132" s="40">
        <f>IF(OR(Z131=4,Z131=8,Z131=12,Z131=16,Z131=20),$CA$1,0)</f>
        <v>0</v>
      </c>
      <c r="BR132" s="40">
        <f>IF(OR(AA131=4,AA131=8,AA131=12,AA131=16,AA131=20),$CA$1,0)</f>
        <v>0</v>
      </c>
      <c r="BS132" s="40">
        <f>IF(V128=20,$CB$1,0)</f>
        <v>0</v>
      </c>
      <c r="BT132" s="40">
        <f>IF(W128=20,$CB$1,0)</f>
        <v>0</v>
      </c>
      <c r="BU132" s="40">
        <f>IF(X128=20,$CB$1,0)</f>
        <v>0</v>
      </c>
      <c r="BV132" s="40">
        <f>IF(Y128=20,$CB$1,0)</f>
        <v>0</v>
      </c>
      <c r="BW132" s="40">
        <f>IF(Z128=20,$CB$1,0)</f>
        <v>0</v>
      </c>
      <c r="BX132" s="40">
        <f>IF(AA128=20,$CB$1,0)</f>
        <v>0</v>
      </c>
      <c r="BY132" s="41">
        <f t="shared" si="64"/>
        <v>0</v>
      </c>
      <c r="BZ132" s="41">
        <f t="shared" si="61"/>
        <v>0</v>
      </c>
      <c r="CA132" s="58">
        <f t="shared" si="65"/>
        <v>43997</v>
      </c>
      <c r="CB132" s="47">
        <f t="shared" si="63"/>
        <v>0</v>
      </c>
    </row>
    <row r="133" spans="2:80" ht="15" hidden="1" outlineLevel="1" x14ac:dyDescent="0.2">
      <c r="B133" s="18">
        <f t="shared" ref="B133:B196" si="69">D132+1</f>
        <v>44004</v>
      </c>
      <c r="C133" s="17" t="s">
        <v>1</v>
      </c>
      <c r="D133" s="19">
        <f t="shared" ref="D133:D196" si="70">B133+6</f>
        <v>44010</v>
      </c>
      <c r="E133" s="20">
        <f t="shared" ref="E133:E196" si="71">MONTH(B133)</f>
        <v>6</v>
      </c>
      <c r="F133" s="21">
        <f t="shared" ref="F133:F196" si="72">YEAR(D133)</f>
        <v>2020</v>
      </c>
      <c r="G133" s="11">
        <f t="shared" si="67"/>
        <v>22</v>
      </c>
      <c r="H133" s="10">
        <f t="shared" si="67"/>
        <v>66</v>
      </c>
      <c r="I133" s="11"/>
      <c r="J133" s="11"/>
      <c r="K133" s="11"/>
      <c r="L133" s="11"/>
      <c r="M133" s="11"/>
      <c r="N133" s="11"/>
      <c r="O133" s="14"/>
      <c r="P133" s="14"/>
      <c r="Q133" s="14"/>
      <c r="R133" s="14"/>
      <c r="S133" s="14"/>
      <c r="T133" s="14"/>
      <c r="V133" s="22">
        <f t="shared" si="68"/>
        <v>9</v>
      </c>
      <c r="W133" s="22">
        <f t="shared" si="68"/>
        <v>0</v>
      </c>
      <c r="X133" s="22">
        <f t="shared" si="68"/>
        <v>0</v>
      </c>
      <c r="Y133" s="22">
        <f t="shared" si="68"/>
        <v>0</v>
      </c>
      <c r="Z133" s="22">
        <f t="shared" si="68"/>
        <v>0</v>
      </c>
      <c r="AA133" s="22">
        <f t="shared" si="68"/>
        <v>0</v>
      </c>
      <c r="AB133" s="1"/>
      <c r="AC133" s="5">
        <f t="shared" si="43"/>
        <v>0</v>
      </c>
      <c r="AD133" s="5">
        <f t="shared" si="44"/>
        <v>57</v>
      </c>
      <c r="AE133" s="5">
        <f t="shared" si="45"/>
        <v>39</v>
      </c>
      <c r="AF133" s="5">
        <f t="shared" si="46"/>
        <v>0</v>
      </c>
      <c r="AG133" s="5">
        <f t="shared" si="47"/>
        <v>0</v>
      </c>
      <c r="AH133" s="5">
        <f t="shared" si="48"/>
        <v>0</v>
      </c>
      <c r="AI133" s="5">
        <f t="shared" si="49"/>
        <v>0</v>
      </c>
      <c r="AJ133" s="5">
        <f t="shared" si="50"/>
        <v>0</v>
      </c>
      <c r="AK133" s="5">
        <f t="shared" si="51"/>
        <v>0</v>
      </c>
      <c r="AL133" s="5">
        <f t="shared" si="52"/>
        <v>0</v>
      </c>
      <c r="AM133" s="5">
        <f t="shared" si="53"/>
        <v>0</v>
      </c>
      <c r="AN133" s="5">
        <f t="shared" si="54"/>
        <v>0</v>
      </c>
      <c r="AO133" s="5">
        <f t="shared" si="55"/>
        <v>0</v>
      </c>
      <c r="AP133" s="5">
        <f t="shared" si="56"/>
        <v>0</v>
      </c>
      <c r="AQ133" s="5">
        <f t="shared" si="57"/>
        <v>0</v>
      </c>
      <c r="AR133" s="5">
        <f t="shared" si="58"/>
        <v>0</v>
      </c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M133" s="40">
        <f>IF(OR(V132=4,V132=8,V132=12,V132=16,V132=20),$CA$1,0)</f>
        <v>161491.14583333334</v>
      </c>
      <c r="BN133" s="40">
        <f>IF(OR(W132=4,W132=8,W132=12,W132=16,W132=20),$CA$1,0)</f>
        <v>0</v>
      </c>
      <c r="BO133" s="40">
        <f>IF(OR(X132=4,X132=8,X132=12,X132=16,X132=20),$CA$1,0)</f>
        <v>0</v>
      </c>
      <c r="BP133" s="40">
        <f>IF(OR(Y132=4,Y132=8,Y132=12,Y132=16,Y132=20),$CA$1,0)</f>
        <v>0</v>
      </c>
      <c r="BQ133" s="40">
        <f>IF(OR(Z132=4,Z132=8,Z132=12,Z132=16,Z132=20),$CA$1,0)</f>
        <v>0</v>
      </c>
      <c r="BR133" s="40">
        <f>IF(OR(AA132=4,AA132=8,AA132=12,AA132=16,AA132=20),$CA$1,0)</f>
        <v>0</v>
      </c>
      <c r="BS133" s="40">
        <f>IF(V129=20,$CB$1,0)</f>
        <v>0</v>
      </c>
      <c r="BT133" s="40">
        <f>IF(W129=20,$CB$1,0)</f>
        <v>0</v>
      </c>
      <c r="BU133" s="40">
        <f>IF(X129=20,$CB$1,0)</f>
        <v>0</v>
      </c>
      <c r="BV133" s="40">
        <f>IF(Y129=20,$CB$1,0)</f>
        <v>0</v>
      </c>
      <c r="BW133" s="40">
        <f>IF(Z129=20,$CB$1,0)</f>
        <v>0</v>
      </c>
      <c r="BX133" s="40">
        <f>IF(AA129=20,$CB$1,0)</f>
        <v>0</v>
      </c>
      <c r="BY133" s="41">
        <f t="shared" si="64"/>
        <v>161491.14583333334</v>
      </c>
      <c r="BZ133" s="41">
        <f t="shared" si="61"/>
        <v>161491.14583333334</v>
      </c>
      <c r="CA133" s="58">
        <f t="shared" si="65"/>
        <v>44004</v>
      </c>
      <c r="CB133" s="47">
        <f t="shared" si="63"/>
        <v>0</v>
      </c>
    </row>
    <row r="134" spans="2:80" ht="15" hidden="1" outlineLevel="1" x14ac:dyDescent="0.2">
      <c r="B134" s="18">
        <f t="shared" si="69"/>
        <v>44011</v>
      </c>
      <c r="C134" s="17" t="s">
        <v>1</v>
      </c>
      <c r="D134" s="19">
        <f t="shared" si="70"/>
        <v>44017</v>
      </c>
      <c r="E134" s="20">
        <f t="shared" si="71"/>
        <v>6</v>
      </c>
      <c r="F134" s="21">
        <f t="shared" si="72"/>
        <v>2020</v>
      </c>
      <c r="G134" s="11">
        <f t="shared" ref="G134:H149" si="73">G133</f>
        <v>22</v>
      </c>
      <c r="H134" s="10">
        <f t="shared" si="73"/>
        <v>66</v>
      </c>
      <c r="I134" s="11"/>
      <c r="J134" s="11"/>
      <c r="K134" s="11"/>
      <c r="L134" s="11"/>
      <c r="M134" s="11"/>
      <c r="N134" s="11"/>
      <c r="O134" s="14"/>
      <c r="P134" s="14"/>
      <c r="Q134" s="14"/>
      <c r="R134" s="14"/>
      <c r="S134" s="14"/>
      <c r="T134" s="14"/>
      <c r="V134" s="22">
        <f t="shared" si="68"/>
        <v>10</v>
      </c>
      <c r="W134" s="22">
        <f t="shared" si="68"/>
        <v>0</v>
      </c>
      <c r="X134" s="22">
        <f t="shared" si="68"/>
        <v>0</v>
      </c>
      <c r="Y134" s="22">
        <f t="shared" si="68"/>
        <v>0</v>
      </c>
      <c r="Z134" s="22">
        <f t="shared" si="68"/>
        <v>0</v>
      </c>
      <c r="AA134" s="22">
        <f t="shared" si="68"/>
        <v>0</v>
      </c>
      <c r="AB134" s="1"/>
      <c r="AC134" s="5">
        <f t="shared" si="43"/>
        <v>0</v>
      </c>
      <c r="AD134" s="5">
        <f t="shared" si="44"/>
        <v>58</v>
      </c>
      <c r="AE134" s="5">
        <f t="shared" si="45"/>
        <v>40</v>
      </c>
      <c r="AF134" s="5">
        <f t="shared" si="46"/>
        <v>0</v>
      </c>
      <c r="AG134" s="5">
        <f t="shared" si="47"/>
        <v>0</v>
      </c>
      <c r="AH134" s="5">
        <f t="shared" si="48"/>
        <v>0</v>
      </c>
      <c r="AI134" s="5">
        <f t="shared" si="49"/>
        <v>0</v>
      </c>
      <c r="AJ134" s="5">
        <f t="shared" si="50"/>
        <v>0</v>
      </c>
      <c r="AK134" s="5">
        <f t="shared" si="51"/>
        <v>0</v>
      </c>
      <c r="AL134" s="5">
        <f t="shared" si="52"/>
        <v>0</v>
      </c>
      <c r="AM134" s="5">
        <f t="shared" si="53"/>
        <v>0</v>
      </c>
      <c r="AN134" s="5">
        <f t="shared" si="54"/>
        <v>0</v>
      </c>
      <c r="AO134" s="5">
        <f t="shared" si="55"/>
        <v>0</v>
      </c>
      <c r="AP134" s="5">
        <f t="shared" si="56"/>
        <v>0</v>
      </c>
      <c r="AQ134" s="5">
        <f t="shared" si="57"/>
        <v>0</v>
      </c>
      <c r="AR134" s="5">
        <f t="shared" si="58"/>
        <v>0</v>
      </c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M134" s="40">
        <f>IF(OR(V133=4,V133=8,V133=12,V133=16,V133=20),$CA$1,0)</f>
        <v>0</v>
      </c>
      <c r="BN134" s="40">
        <f>IF(OR(W133=4,W133=8,W133=12,W133=16,W133=20),$CA$1,0)</f>
        <v>0</v>
      </c>
      <c r="BO134" s="40">
        <f>IF(OR(X133=4,X133=8,X133=12,X133=16,X133=20),$CA$1,0)</f>
        <v>0</v>
      </c>
      <c r="BP134" s="40">
        <f>IF(OR(Y133=4,Y133=8,Y133=12,Y133=16,Y133=20),$CA$1,0)</f>
        <v>0</v>
      </c>
      <c r="BQ134" s="40">
        <f>IF(OR(Z133=4,Z133=8,Z133=12,Z133=16,Z133=20),$CA$1,0)</f>
        <v>0</v>
      </c>
      <c r="BR134" s="40">
        <f>IF(OR(AA133=4,AA133=8,AA133=12,AA133=16,AA133=20),$CA$1,0)</f>
        <v>0</v>
      </c>
      <c r="BS134" s="40">
        <f>IF(V130=20,$CB$1,0)</f>
        <v>0</v>
      </c>
      <c r="BT134" s="40">
        <f>IF(W130=20,$CB$1,0)</f>
        <v>0</v>
      </c>
      <c r="BU134" s="40">
        <f>IF(X130=20,$CB$1,0)</f>
        <v>0</v>
      </c>
      <c r="BV134" s="40">
        <f>IF(Y130=20,$CB$1,0)</f>
        <v>0</v>
      </c>
      <c r="BW134" s="40">
        <f>IF(Z130=20,$CB$1,0)</f>
        <v>0</v>
      </c>
      <c r="BX134" s="40">
        <f>IF(AA130=20,$CB$1,0)</f>
        <v>0</v>
      </c>
      <c r="BY134" s="41">
        <f t="shared" si="64"/>
        <v>0</v>
      </c>
      <c r="BZ134" s="41">
        <f t="shared" si="61"/>
        <v>161491.14583333334</v>
      </c>
      <c r="CA134" s="58">
        <f t="shared" si="65"/>
        <v>44011</v>
      </c>
      <c r="CB134" s="47">
        <f t="shared" si="63"/>
        <v>161491.14583333334</v>
      </c>
    </row>
    <row r="135" spans="2:80" ht="15" hidden="1" outlineLevel="1" x14ac:dyDescent="0.2">
      <c r="B135" s="18">
        <f t="shared" si="69"/>
        <v>44018</v>
      </c>
      <c r="C135" s="17" t="s">
        <v>1</v>
      </c>
      <c r="D135" s="19">
        <f t="shared" si="70"/>
        <v>44024</v>
      </c>
      <c r="E135" s="20">
        <f t="shared" si="71"/>
        <v>7</v>
      </c>
      <c r="F135" s="21">
        <f t="shared" si="72"/>
        <v>2020</v>
      </c>
      <c r="G135" s="11">
        <f t="shared" si="73"/>
        <v>22</v>
      </c>
      <c r="H135" s="10">
        <f t="shared" si="73"/>
        <v>66</v>
      </c>
      <c r="I135" s="11"/>
      <c r="J135" s="11"/>
      <c r="K135" s="11"/>
      <c r="L135" s="11"/>
      <c r="M135" s="11"/>
      <c r="N135" s="11"/>
      <c r="O135" s="14"/>
      <c r="P135" s="14"/>
      <c r="Q135" s="14"/>
      <c r="R135" s="14"/>
      <c r="S135" s="14"/>
      <c r="T135" s="14"/>
      <c r="V135" s="22">
        <f t="shared" si="68"/>
        <v>11</v>
      </c>
      <c r="W135" s="22">
        <f t="shared" si="68"/>
        <v>0</v>
      </c>
      <c r="X135" s="22">
        <f t="shared" si="68"/>
        <v>0</v>
      </c>
      <c r="Y135" s="22">
        <f t="shared" si="68"/>
        <v>0</v>
      </c>
      <c r="Z135" s="22">
        <f t="shared" si="68"/>
        <v>0</v>
      </c>
      <c r="AA135" s="22">
        <f t="shared" si="68"/>
        <v>0</v>
      </c>
      <c r="AB135" s="1"/>
      <c r="AC135" s="5">
        <f t="shared" si="43"/>
        <v>0</v>
      </c>
      <c r="AD135" s="5">
        <f t="shared" si="44"/>
        <v>59</v>
      </c>
      <c r="AE135" s="5">
        <f t="shared" si="45"/>
        <v>41</v>
      </c>
      <c r="AF135" s="5">
        <f t="shared" si="46"/>
        <v>0</v>
      </c>
      <c r="AG135" s="5">
        <f t="shared" si="47"/>
        <v>0</v>
      </c>
      <c r="AH135" s="5">
        <f t="shared" si="48"/>
        <v>0</v>
      </c>
      <c r="AI135" s="5">
        <f t="shared" si="49"/>
        <v>0</v>
      </c>
      <c r="AJ135" s="5">
        <f t="shared" si="50"/>
        <v>0</v>
      </c>
      <c r="AK135" s="5">
        <f t="shared" si="51"/>
        <v>0</v>
      </c>
      <c r="AL135" s="5">
        <f t="shared" si="52"/>
        <v>0</v>
      </c>
      <c r="AM135" s="5">
        <f t="shared" si="53"/>
        <v>0</v>
      </c>
      <c r="AN135" s="5">
        <f t="shared" si="54"/>
        <v>0</v>
      </c>
      <c r="AO135" s="5">
        <f t="shared" si="55"/>
        <v>0</v>
      </c>
      <c r="AP135" s="5">
        <f t="shared" si="56"/>
        <v>0</v>
      </c>
      <c r="AQ135" s="5">
        <f t="shared" si="57"/>
        <v>0</v>
      </c>
      <c r="AR135" s="5">
        <f t="shared" si="58"/>
        <v>0</v>
      </c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M135" s="40">
        <f>IF(OR(V134=4,V134=8,V134=12,V134=16,V134=20),$CA$1,0)</f>
        <v>0</v>
      </c>
      <c r="BN135" s="40">
        <f>IF(OR(W134=4,W134=8,W134=12,W134=16,W134=20),$CA$1,0)</f>
        <v>0</v>
      </c>
      <c r="BO135" s="40">
        <f>IF(OR(X134=4,X134=8,X134=12,X134=16,X134=20),$CA$1,0)</f>
        <v>0</v>
      </c>
      <c r="BP135" s="40">
        <f>IF(OR(Y134=4,Y134=8,Y134=12,Y134=16,Y134=20),$CA$1,0)</f>
        <v>0</v>
      </c>
      <c r="BQ135" s="40">
        <f>IF(OR(Z134=4,Z134=8,Z134=12,Z134=16,Z134=20),$CA$1,0)</f>
        <v>0</v>
      </c>
      <c r="BR135" s="40">
        <f>IF(OR(AA134=4,AA134=8,AA134=12,AA134=16,AA134=20),$CA$1,0)</f>
        <v>0</v>
      </c>
      <c r="BS135" s="40">
        <f>IF(V131=20,$CB$1,0)</f>
        <v>0</v>
      </c>
      <c r="BT135" s="40">
        <f>IF(W131=20,$CB$1,0)</f>
        <v>0</v>
      </c>
      <c r="BU135" s="40">
        <f>IF(X131=20,$CB$1,0)</f>
        <v>0</v>
      </c>
      <c r="BV135" s="40">
        <f>IF(Y131=20,$CB$1,0)</f>
        <v>0</v>
      </c>
      <c r="BW135" s="40">
        <f>IF(Z131=20,$CB$1,0)</f>
        <v>0</v>
      </c>
      <c r="BX135" s="40">
        <f>IF(AA131=20,$CB$1,0)</f>
        <v>0</v>
      </c>
      <c r="BY135" s="41">
        <f t="shared" si="64"/>
        <v>0</v>
      </c>
      <c r="BZ135" s="41">
        <f t="shared" si="61"/>
        <v>0</v>
      </c>
      <c r="CA135" s="58">
        <f t="shared" si="65"/>
        <v>44018</v>
      </c>
      <c r="CB135" s="47">
        <f t="shared" si="63"/>
        <v>0</v>
      </c>
    </row>
    <row r="136" spans="2:80" ht="15" hidden="1" outlineLevel="1" x14ac:dyDescent="0.2">
      <c r="B136" s="18">
        <f t="shared" si="69"/>
        <v>44025</v>
      </c>
      <c r="C136" s="17" t="s">
        <v>1</v>
      </c>
      <c r="D136" s="19">
        <f t="shared" si="70"/>
        <v>44031</v>
      </c>
      <c r="E136" s="20">
        <f t="shared" si="71"/>
        <v>7</v>
      </c>
      <c r="F136" s="21">
        <f t="shared" si="72"/>
        <v>2020</v>
      </c>
      <c r="G136" s="11">
        <f t="shared" si="73"/>
        <v>22</v>
      </c>
      <c r="H136" s="10">
        <f t="shared" si="73"/>
        <v>66</v>
      </c>
      <c r="I136" s="11"/>
      <c r="J136" s="11"/>
      <c r="K136" s="11"/>
      <c r="L136" s="11"/>
      <c r="M136" s="11"/>
      <c r="N136" s="11"/>
      <c r="O136" s="14"/>
      <c r="P136" s="14"/>
      <c r="Q136" s="14"/>
      <c r="R136" s="14"/>
      <c r="S136" s="14"/>
      <c r="T136" s="14"/>
      <c r="V136" s="22">
        <f t="shared" si="68"/>
        <v>12</v>
      </c>
      <c r="W136" s="22">
        <f t="shared" si="68"/>
        <v>0</v>
      </c>
      <c r="X136" s="22">
        <f t="shared" si="68"/>
        <v>0</v>
      </c>
      <c r="Y136" s="22">
        <f t="shared" si="68"/>
        <v>0</v>
      </c>
      <c r="Z136" s="22">
        <f t="shared" si="68"/>
        <v>0</v>
      </c>
      <c r="AA136" s="22">
        <f t="shared" si="68"/>
        <v>0</v>
      </c>
      <c r="AB136" s="1"/>
      <c r="AC136" s="5">
        <f t="shared" si="43"/>
        <v>0</v>
      </c>
      <c r="AD136" s="5">
        <f t="shared" si="44"/>
        <v>60</v>
      </c>
      <c r="AE136" s="5">
        <f t="shared" si="45"/>
        <v>42</v>
      </c>
      <c r="AF136" s="5">
        <f t="shared" si="46"/>
        <v>0</v>
      </c>
      <c r="AG136" s="5">
        <f t="shared" si="47"/>
        <v>0</v>
      </c>
      <c r="AH136" s="5">
        <f t="shared" si="48"/>
        <v>0</v>
      </c>
      <c r="AI136" s="5">
        <f t="shared" si="49"/>
        <v>0</v>
      </c>
      <c r="AJ136" s="5">
        <f t="shared" si="50"/>
        <v>0</v>
      </c>
      <c r="AK136" s="5">
        <f t="shared" si="51"/>
        <v>0</v>
      </c>
      <c r="AL136" s="5">
        <f t="shared" si="52"/>
        <v>0</v>
      </c>
      <c r="AM136" s="5">
        <f t="shared" si="53"/>
        <v>0</v>
      </c>
      <c r="AN136" s="5">
        <f t="shared" si="54"/>
        <v>0</v>
      </c>
      <c r="AO136" s="5">
        <f t="shared" si="55"/>
        <v>0</v>
      </c>
      <c r="AP136" s="5">
        <f t="shared" si="56"/>
        <v>0</v>
      </c>
      <c r="AQ136" s="5">
        <f t="shared" si="57"/>
        <v>0</v>
      </c>
      <c r="AR136" s="5">
        <f t="shared" si="58"/>
        <v>0</v>
      </c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M136" s="40">
        <f>IF(OR(V135=4,V135=8,V135=12,V135=16,V135=20),$CA$1,0)</f>
        <v>0</v>
      </c>
      <c r="BN136" s="40">
        <f>IF(OR(W135=4,W135=8,W135=12,W135=16,W135=20),$CA$1,0)</f>
        <v>0</v>
      </c>
      <c r="BO136" s="40">
        <f>IF(OR(X135=4,X135=8,X135=12,X135=16,X135=20),$CA$1,0)</f>
        <v>0</v>
      </c>
      <c r="BP136" s="40">
        <f>IF(OR(Y135=4,Y135=8,Y135=12,Y135=16,Y135=20),$CA$1,0)</f>
        <v>0</v>
      </c>
      <c r="BQ136" s="40">
        <f>IF(OR(Z135=4,Z135=8,Z135=12,Z135=16,Z135=20),$CA$1,0)</f>
        <v>0</v>
      </c>
      <c r="BR136" s="40">
        <f>IF(OR(AA135=4,AA135=8,AA135=12,AA135=16,AA135=20),$CA$1,0)</f>
        <v>0</v>
      </c>
      <c r="BS136" s="40">
        <f>IF(V132=20,$CB$1,0)</f>
        <v>0</v>
      </c>
      <c r="BT136" s="40">
        <f>IF(W132=20,$CB$1,0)</f>
        <v>0</v>
      </c>
      <c r="BU136" s="40">
        <f>IF(X132=20,$CB$1,0)</f>
        <v>0</v>
      </c>
      <c r="BV136" s="40">
        <f>IF(Y132=20,$CB$1,0)</f>
        <v>0</v>
      </c>
      <c r="BW136" s="40">
        <f>IF(Z132=20,$CB$1,0)</f>
        <v>0</v>
      </c>
      <c r="BX136" s="40">
        <f>IF(AA132=20,$CB$1,0)</f>
        <v>0</v>
      </c>
      <c r="BY136" s="41">
        <f t="shared" si="64"/>
        <v>0</v>
      </c>
      <c r="BZ136" s="41">
        <f t="shared" si="61"/>
        <v>0</v>
      </c>
      <c r="CA136" s="58">
        <f t="shared" si="65"/>
        <v>44025</v>
      </c>
      <c r="CB136" s="47">
        <f t="shared" si="63"/>
        <v>0</v>
      </c>
    </row>
    <row r="137" spans="2:80" ht="15" hidden="1" outlineLevel="1" x14ac:dyDescent="0.2">
      <c r="B137" s="18">
        <f t="shared" si="69"/>
        <v>44032</v>
      </c>
      <c r="C137" s="17" t="s">
        <v>1</v>
      </c>
      <c r="D137" s="19">
        <f t="shared" si="70"/>
        <v>44038</v>
      </c>
      <c r="E137" s="20">
        <f t="shared" si="71"/>
        <v>7</v>
      </c>
      <c r="F137" s="21">
        <f t="shared" si="72"/>
        <v>2020</v>
      </c>
      <c r="G137" s="11">
        <f t="shared" si="73"/>
        <v>22</v>
      </c>
      <c r="H137" s="10">
        <f t="shared" si="73"/>
        <v>66</v>
      </c>
      <c r="I137" s="11"/>
      <c r="J137" s="11"/>
      <c r="K137" s="11"/>
      <c r="L137" s="11"/>
      <c r="M137" s="11"/>
      <c r="N137" s="11"/>
      <c r="O137" s="14"/>
      <c r="P137" s="14"/>
      <c r="Q137" s="14"/>
      <c r="R137" s="14"/>
      <c r="S137" s="14"/>
      <c r="T137" s="14"/>
      <c r="V137" s="22">
        <f>IF(I137&gt;0,I137,IF(O137=1,$B137+2,IF(O136=1,1,IF(O136=2,0,IF(V136=$G136,0,(IF(V136&gt;=1,V136+1,0)))))))</f>
        <v>13</v>
      </c>
      <c r="W137" s="22">
        <f t="shared" si="68"/>
        <v>0</v>
      </c>
      <c r="X137" s="22">
        <f t="shared" si="68"/>
        <v>0</v>
      </c>
      <c r="Y137" s="22">
        <f t="shared" si="68"/>
        <v>0</v>
      </c>
      <c r="Z137" s="22">
        <f t="shared" si="68"/>
        <v>0</v>
      </c>
      <c r="AA137" s="22">
        <f t="shared" si="68"/>
        <v>0</v>
      </c>
      <c r="AB137" s="1"/>
      <c r="AC137" s="5">
        <f t="shared" si="43"/>
        <v>0</v>
      </c>
      <c r="AD137" s="5">
        <f t="shared" si="44"/>
        <v>61</v>
      </c>
      <c r="AE137" s="5">
        <f t="shared" si="45"/>
        <v>43</v>
      </c>
      <c r="AF137" s="5">
        <f t="shared" si="46"/>
        <v>0</v>
      </c>
      <c r="AG137" s="5">
        <f t="shared" si="47"/>
        <v>0</v>
      </c>
      <c r="AH137" s="5">
        <f t="shared" si="48"/>
        <v>0</v>
      </c>
      <c r="AI137" s="5">
        <f t="shared" si="49"/>
        <v>0</v>
      </c>
      <c r="AJ137" s="5">
        <f t="shared" si="50"/>
        <v>0</v>
      </c>
      <c r="AK137" s="5">
        <f t="shared" si="51"/>
        <v>0</v>
      </c>
      <c r="AL137" s="5">
        <f t="shared" si="52"/>
        <v>0</v>
      </c>
      <c r="AM137" s="5">
        <f t="shared" si="53"/>
        <v>0</v>
      </c>
      <c r="AN137" s="5">
        <f t="shared" si="54"/>
        <v>0</v>
      </c>
      <c r="AO137" s="5">
        <f t="shared" si="55"/>
        <v>0</v>
      </c>
      <c r="AP137" s="5">
        <f t="shared" si="56"/>
        <v>0</v>
      </c>
      <c r="AQ137" s="5">
        <f t="shared" si="57"/>
        <v>0</v>
      </c>
      <c r="AR137" s="5">
        <f t="shared" si="58"/>
        <v>0</v>
      </c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M137" s="40">
        <f>IF(OR(V136=4,V136=8,V136=12,V136=16,V136=20),$CA$1,0)</f>
        <v>161491.14583333334</v>
      </c>
      <c r="BN137" s="40">
        <f>IF(OR(W136=4,W136=8,W136=12,W136=16,W136=20),$CA$1,0)</f>
        <v>0</v>
      </c>
      <c r="BO137" s="40">
        <f>IF(OR(X136=4,X136=8,X136=12,X136=16,X136=20),$CA$1,0)</f>
        <v>0</v>
      </c>
      <c r="BP137" s="40">
        <f>IF(OR(Y136=4,Y136=8,Y136=12,Y136=16,Y136=20),$CA$1,0)</f>
        <v>0</v>
      </c>
      <c r="BQ137" s="40">
        <f>IF(OR(Z136=4,Z136=8,Z136=12,Z136=16,Z136=20),$CA$1,0)</f>
        <v>0</v>
      </c>
      <c r="BR137" s="40">
        <f>IF(OR(AA136=4,AA136=8,AA136=12,AA136=16,AA136=20),$CA$1,0)</f>
        <v>0</v>
      </c>
      <c r="BS137" s="40">
        <f>IF(V133=20,$CB$1,0)</f>
        <v>0</v>
      </c>
      <c r="BT137" s="40">
        <f>IF(W133=20,$CB$1,0)</f>
        <v>0</v>
      </c>
      <c r="BU137" s="40">
        <f>IF(X133=20,$CB$1,0)</f>
        <v>0</v>
      </c>
      <c r="BV137" s="40">
        <f>IF(Y133=20,$CB$1,0)</f>
        <v>0</v>
      </c>
      <c r="BW137" s="40">
        <f>IF(Z133=20,$CB$1,0)</f>
        <v>0</v>
      </c>
      <c r="BX137" s="40">
        <f>IF(AA133=20,$CB$1,0)</f>
        <v>0</v>
      </c>
      <c r="BY137" s="41">
        <f t="shared" si="64"/>
        <v>161491.14583333334</v>
      </c>
      <c r="BZ137" s="41">
        <f t="shared" si="61"/>
        <v>161491.14583333334</v>
      </c>
      <c r="CA137" s="58">
        <f t="shared" si="65"/>
        <v>44032</v>
      </c>
      <c r="CB137" s="47">
        <f t="shared" si="63"/>
        <v>0</v>
      </c>
    </row>
    <row r="138" spans="2:80" ht="15" hidden="1" outlineLevel="1" x14ac:dyDescent="0.2">
      <c r="B138" s="18">
        <f t="shared" si="69"/>
        <v>44039</v>
      </c>
      <c r="C138" s="17" t="s">
        <v>1</v>
      </c>
      <c r="D138" s="19">
        <f t="shared" si="70"/>
        <v>44045</v>
      </c>
      <c r="E138" s="20">
        <f t="shared" si="71"/>
        <v>7</v>
      </c>
      <c r="F138" s="21">
        <f t="shared" si="72"/>
        <v>2020</v>
      </c>
      <c r="G138" s="11">
        <f t="shared" si="73"/>
        <v>22</v>
      </c>
      <c r="H138" s="10">
        <f t="shared" si="73"/>
        <v>66</v>
      </c>
      <c r="I138" s="11"/>
      <c r="J138" s="11"/>
      <c r="K138" s="11"/>
      <c r="L138" s="11"/>
      <c r="M138" s="11"/>
      <c r="N138" s="11"/>
      <c r="O138" s="14"/>
      <c r="P138" s="14"/>
      <c r="Q138" s="14"/>
      <c r="R138" s="14"/>
      <c r="S138" s="14"/>
      <c r="T138" s="14"/>
      <c r="V138" s="22">
        <f t="shared" si="68"/>
        <v>14</v>
      </c>
      <c r="W138" s="22">
        <f t="shared" si="68"/>
        <v>0</v>
      </c>
      <c r="X138" s="22">
        <f t="shared" si="68"/>
        <v>0</v>
      </c>
      <c r="Y138" s="22">
        <f t="shared" si="68"/>
        <v>0</v>
      </c>
      <c r="Z138" s="22">
        <f t="shared" si="68"/>
        <v>0</v>
      </c>
      <c r="AA138" s="22">
        <f t="shared" si="68"/>
        <v>0</v>
      </c>
      <c r="AB138" s="1"/>
      <c r="AC138" s="5">
        <f t="shared" si="43"/>
        <v>0</v>
      </c>
      <c r="AD138" s="5">
        <f t="shared" si="44"/>
        <v>62</v>
      </c>
      <c r="AE138" s="5">
        <f t="shared" si="45"/>
        <v>44</v>
      </c>
      <c r="AF138" s="5">
        <f t="shared" si="46"/>
        <v>0</v>
      </c>
      <c r="AG138" s="5">
        <f t="shared" si="47"/>
        <v>0</v>
      </c>
      <c r="AH138" s="5">
        <f t="shared" si="48"/>
        <v>0</v>
      </c>
      <c r="AI138" s="5">
        <f t="shared" si="49"/>
        <v>0</v>
      </c>
      <c r="AJ138" s="5">
        <f t="shared" si="50"/>
        <v>0</v>
      </c>
      <c r="AK138" s="5">
        <f t="shared" si="51"/>
        <v>0</v>
      </c>
      <c r="AL138" s="5">
        <f t="shared" si="52"/>
        <v>0</v>
      </c>
      <c r="AM138" s="5">
        <f t="shared" si="53"/>
        <v>0</v>
      </c>
      <c r="AN138" s="5">
        <f t="shared" si="54"/>
        <v>0</v>
      </c>
      <c r="AO138" s="5">
        <f t="shared" si="55"/>
        <v>0</v>
      </c>
      <c r="AP138" s="5">
        <f t="shared" si="56"/>
        <v>0</v>
      </c>
      <c r="AQ138" s="5">
        <f t="shared" si="57"/>
        <v>0</v>
      </c>
      <c r="AR138" s="5">
        <f t="shared" si="58"/>
        <v>0</v>
      </c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M138" s="40">
        <f>IF(OR(V137=4,V137=8,V137=12,V137=16,V137=20),$CA$1,0)</f>
        <v>0</v>
      </c>
      <c r="BN138" s="40">
        <f>IF(OR(W137=4,W137=8,W137=12,W137=16,W137=20),$CA$1,0)</f>
        <v>0</v>
      </c>
      <c r="BO138" s="40">
        <f>IF(OR(X137=4,X137=8,X137=12,X137=16,X137=20),$CA$1,0)</f>
        <v>0</v>
      </c>
      <c r="BP138" s="40">
        <f>IF(OR(Y137=4,Y137=8,Y137=12,Y137=16,Y137=20),$CA$1,0)</f>
        <v>0</v>
      </c>
      <c r="BQ138" s="40">
        <f>IF(OR(Z137=4,Z137=8,Z137=12,Z137=16,Z137=20),$CA$1,0)</f>
        <v>0</v>
      </c>
      <c r="BR138" s="40">
        <f>IF(OR(AA137=4,AA137=8,AA137=12,AA137=16,AA137=20),$CA$1,0)</f>
        <v>0</v>
      </c>
      <c r="BS138" s="40">
        <f>IF(V134=20,$CB$1,0)</f>
        <v>0</v>
      </c>
      <c r="BT138" s="40">
        <f>IF(W134=20,$CB$1,0)</f>
        <v>0</v>
      </c>
      <c r="BU138" s="40">
        <f>IF(X134=20,$CB$1,0)</f>
        <v>0</v>
      </c>
      <c r="BV138" s="40">
        <f>IF(Y134=20,$CB$1,0)</f>
        <v>0</v>
      </c>
      <c r="BW138" s="40">
        <f>IF(Z134=20,$CB$1,0)</f>
        <v>0</v>
      </c>
      <c r="BX138" s="40">
        <f>IF(AA134=20,$CB$1,0)</f>
        <v>0</v>
      </c>
      <c r="BY138" s="41">
        <f t="shared" si="64"/>
        <v>0</v>
      </c>
      <c r="BZ138" s="41">
        <f t="shared" si="61"/>
        <v>161491.14583333334</v>
      </c>
      <c r="CA138" s="58">
        <f t="shared" si="65"/>
        <v>44039</v>
      </c>
      <c r="CB138" s="47">
        <f t="shared" si="63"/>
        <v>161491.14583333334</v>
      </c>
    </row>
    <row r="139" spans="2:80" ht="15" hidden="1" outlineLevel="1" x14ac:dyDescent="0.2">
      <c r="B139" s="18">
        <f t="shared" si="69"/>
        <v>44046</v>
      </c>
      <c r="C139" s="17" t="s">
        <v>1</v>
      </c>
      <c r="D139" s="19">
        <f t="shared" si="70"/>
        <v>44052</v>
      </c>
      <c r="E139" s="20">
        <f t="shared" si="71"/>
        <v>8</v>
      </c>
      <c r="F139" s="21">
        <f t="shared" si="72"/>
        <v>2020</v>
      </c>
      <c r="G139" s="11">
        <f t="shared" si="73"/>
        <v>22</v>
      </c>
      <c r="H139" s="10">
        <f t="shared" si="73"/>
        <v>66</v>
      </c>
      <c r="I139" s="11"/>
      <c r="J139" s="11"/>
      <c r="K139" s="11"/>
      <c r="L139" s="11"/>
      <c r="M139" s="11"/>
      <c r="N139" s="11"/>
      <c r="O139" s="14"/>
      <c r="P139" s="14"/>
      <c r="Q139" s="14"/>
      <c r="R139" s="14"/>
      <c r="S139" s="14"/>
      <c r="T139" s="14"/>
      <c r="V139" s="22">
        <f t="shared" si="68"/>
        <v>15</v>
      </c>
      <c r="W139" s="22">
        <f t="shared" si="68"/>
        <v>0</v>
      </c>
      <c r="X139" s="22">
        <f t="shared" si="68"/>
        <v>0</v>
      </c>
      <c r="Y139" s="22">
        <f t="shared" si="68"/>
        <v>0</v>
      </c>
      <c r="Z139" s="22">
        <f t="shared" si="68"/>
        <v>0</v>
      </c>
      <c r="AA139" s="22">
        <f t="shared" si="68"/>
        <v>0</v>
      </c>
      <c r="AB139" s="1"/>
      <c r="AC139" s="5">
        <f t="shared" si="43"/>
        <v>0</v>
      </c>
      <c r="AD139" s="5">
        <f t="shared" si="44"/>
        <v>63</v>
      </c>
      <c r="AE139" s="5">
        <f t="shared" si="45"/>
        <v>45</v>
      </c>
      <c r="AF139" s="5">
        <f t="shared" si="46"/>
        <v>0</v>
      </c>
      <c r="AG139" s="5">
        <f t="shared" si="47"/>
        <v>0</v>
      </c>
      <c r="AH139" s="5">
        <f t="shared" si="48"/>
        <v>0</v>
      </c>
      <c r="AI139" s="5">
        <f t="shared" si="49"/>
        <v>0</v>
      </c>
      <c r="AJ139" s="5">
        <f t="shared" si="50"/>
        <v>0</v>
      </c>
      <c r="AK139" s="5">
        <f t="shared" si="51"/>
        <v>0</v>
      </c>
      <c r="AL139" s="5">
        <f t="shared" si="52"/>
        <v>0</v>
      </c>
      <c r="AM139" s="5">
        <f t="shared" si="53"/>
        <v>0</v>
      </c>
      <c r="AN139" s="5">
        <f t="shared" si="54"/>
        <v>0</v>
      </c>
      <c r="AO139" s="5">
        <f t="shared" si="55"/>
        <v>0</v>
      </c>
      <c r="AP139" s="5">
        <f t="shared" si="56"/>
        <v>0</v>
      </c>
      <c r="AQ139" s="5">
        <f t="shared" si="57"/>
        <v>0</v>
      </c>
      <c r="AR139" s="5">
        <f t="shared" si="58"/>
        <v>0</v>
      </c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M139" s="40">
        <f>IF(OR(V138=4,V138=8,V138=12,V138=16,V138=20),$CA$1,0)</f>
        <v>0</v>
      </c>
      <c r="BN139" s="40">
        <f>IF(OR(W138=4,W138=8,W138=12,W138=16,W138=20),$CA$1,0)</f>
        <v>0</v>
      </c>
      <c r="BO139" s="40">
        <f>IF(OR(X138=4,X138=8,X138=12,X138=16,X138=20),$CA$1,0)</f>
        <v>0</v>
      </c>
      <c r="BP139" s="40">
        <f>IF(OR(Y138=4,Y138=8,Y138=12,Y138=16,Y138=20),$CA$1,0)</f>
        <v>0</v>
      </c>
      <c r="BQ139" s="40">
        <f>IF(OR(Z138=4,Z138=8,Z138=12,Z138=16,Z138=20),$CA$1,0)</f>
        <v>0</v>
      </c>
      <c r="BR139" s="40">
        <f>IF(OR(AA138=4,AA138=8,AA138=12,AA138=16,AA138=20),$CA$1,0)</f>
        <v>0</v>
      </c>
      <c r="BS139" s="40">
        <f>IF(V135=20,$CB$1,0)</f>
        <v>0</v>
      </c>
      <c r="BT139" s="40">
        <f>IF(W135=20,$CB$1,0)</f>
        <v>0</v>
      </c>
      <c r="BU139" s="40">
        <f>IF(X135=20,$CB$1,0)</f>
        <v>0</v>
      </c>
      <c r="BV139" s="40">
        <f>IF(Y135=20,$CB$1,0)</f>
        <v>0</v>
      </c>
      <c r="BW139" s="40">
        <f>IF(Z135=20,$CB$1,0)</f>
        <v>0</v>
      </c>
      <c r="BX139" s="40">
        <f>IF(AA135=20,$CB$1,0)</f>
        <v>0</v>
      </c>
      <c r="BY139" s="41">
        <f t="shared" si="64"/>
        <v>0</v>
      </c>
      <c r="BZ139" s="41">
        <f t="shared" ref="BZ139:BZ158" si="74">IF(E139=E138,BY139+BZ138,BY139)</f>
        <v>0</v>
      </c>
      <c r="CA139" s="58">
        <f t="shared" si="65"/>
        <v>44046</v>
      </c>
      <c r="CB139" s="47">
        <f t="shared" ref="CB139:CB158" si="75">IF(E139=E140,0,BZ139)</f>
        <v>0</v>
      </c>
    </row>
    <row r="140" spans="2:80" ht="15" hidden="1" outlineLevel="1" x14ac:dyDescent="0.2">
      <c r="B140" s="18">
        <f t="shared" si="69"/>
        <v>44053</v>
      </c>
      <c r="C140" s="17" t="s">
        <v>1</v>
      </c>
      <c r="D140" s="19">
        <f t="shared" si="70"/>
        <v>44059</v>
      </c>
      <c r="E140" s="20">
        <f t="shared" si="71"/>
        <v>8</v>
      </c>
      <c r="F140" s="21">
        <f t="shared" si="72"/>
        <v>2020</v>
      </c>
      <c r="G140" s="11">
        <f t="shared" si="73"/>
        <v>22</v>
      </c>
      <c r="H140" s="10">
        <f t="shared" si="73"/>
        <v>66</v>
      </c>
      <c r="I140" s="11"/>
      <c r="J140" s="11"/>
      <c r="K140" s="11"/>
      <c r="L140" s="11"/>
      <c r="M140" s="11"/>
      <c r="N140" s="11"/>
      <c r="O140" s="14"/>
      <c r="P140" s="14"/>
      <c r="Q140" s="14"/>
      <c r="R140" s="14"/>
      <c r="S140" s="14"/>
      <c r="T140" s="14"/>
      <c r="V140" s="22">
        <f t="shared" si="68"/>
        <v>16</v>
      </c>
      <c r="W140" s="22">
        <f t="shared" si="68"/>
        <v>0</v>
      </c>
      <c r="X140" s="22">
        <f t="shared" si="68"/>
        <v>0</v>
      </c>
      <c r="Y140" s="22">
        <f t="shared" si="68"/>
        <v>0</v>
      </c>
      <c r="Z140" s="22">
        <f t="shared" si="68"/>
        <v>0</v>
      </c>
      <c r="AA140" s="22">
        <f t="shared" si="68"/>
        <v>0</v>
      </c>
      <c r="AB140" s="1"/>
      <c r="AC140" s="5">
        <f t="shared" si="43"/>
        <v>0</v>
      </c>
      <c r="AD140" s="5">
        <f t="shared" si="44"/>
        <v>64</v>
      </c>
      <c r="AE140" s="5">
        <f t="shared" si="45"/>
        <v>46</v>
      </c>
      <c r="AF140" s="5">
        <f t="shared" si="46"/>
        <v>0</v>
      </c>
      <c r="AG140" s="5">
        <f t="shared" si="47"/>
        <v>0</v>
      </c>
      <c r="AH140" s="5">
        <f t="shared" si="48"/>
        <v>0</v>
      </c>
      <c r="AI140" s="5">
        <f t="shared" si="49"/>
        <v>0</v>
      </c>
      <c r="AJ140" s="5">
        <f t="shared" si="50"/>
        <v>0</v>
      </c>
      <c r="AK140" s="5">
        <f t="shared" si="51"/>
        <v>0</v>
      </c>
      <c r="AL140" s="5">
        <f t="shared" si="52"/>
        <v>0</v>
      </c>
      <c r="AM140" s="5">
        <f t="shared" si="53"/>
        <v>0</v>
      </c>
      <c r="AN140" s="5">
        <f t="shared" si="54"/>
        <v>0</v>
      </c>
      <c r="AO140" s="5">
        <f t="shared" si="55"/>
        <v>0</v>
      </c>
      <c r="AP140" s="5">
        <f t="shared" si="56"/>
        <v>0</v>
      </c>
      <c r="AQ140" s="5">
        <f t="shared" si="57"/>
        <v>0</v>
      </c>
      <c r="AR140" s="5">
        <f t="shared" si="58"/>
        <v>0</v>
      </c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M140" s="40">
        <f>IF(OR(V139=4,V139=8,V139=12,V139=16,V139=20),$CA$1,0)</f>
        <v>0</v>
      </c>
      <c r="BN140" s="40">
        <f>IF(OR(W139=4,W139=8,W139=12,W139=16,W139=20),$CA$1,0)</f>
        <v>0</v>
      </c>
      <c r="BO140" s="40">
        <f>IF(OR(X139=4,X139=8,X139=12,X139=16,X139=20),$CA$1,0)</f>
        <v>0</v>
      </c>
      <c r="BP140" s="40">
        <f>IF(OR(Y139=4,Y139=8,Y139=12,Y139=16,Y139=20),$CA$1,0)</f>
        <v>0</v>
      </c>
      <c r="BQ140" s="40">
        <f>IF(OR(Z139=4,Z139=8,Z139=12,Z139=16,Z139=20),$CA$1,0)</f>
        <v>0</v>
      </c>
      <c r="BR140" s="40">
        <f>IF(OR(AA139=4,AA139=8,AA139=12,AA139=16,AA139=20),$CA$1,0)</f>
        <v>0</v>
      </c>
      <c r="BS140" s="40">
        <f>IF(V136=20,$CB$1,0)</f>
        <v>0</v>
      </c>
      <c r="BT140" s="40">
        <f>IF(W136=20,$CB$1,0)</f>
        <v>0</v>
      </c>
      <c r="BU140" s="40">
        <f>IF(X136=20,$CB$1,0)</f>
        <v>0</v>
      </c>
      <c r="BV140" s="40">
        <f>IF(Y136=20,$CB$1,0)</f>
        <v>0</v>
      </c>
      <c r="BW140" s="40">
        <f>IF(Z136=20,$CB$1,0)</f>
        <v>0</v>
      </c>
      <c r="BX140" s="40">
        <f>IF(AA136=20,$CB$1,0)</f>
        <v>0</v>
      </c>
      <c r="BY140" s="41">
        <f t="shared" si="64"/>
        <v>0</v>
      </c>
      <c r="BZ140" s="41">
        <f t="shared" si="74"/>
        <v>0</v>
      </c>
      <c r="CA140" s="58">
        <f t="shared" si="65"/>
        <v>44053</v>
      </c>
      <c r="CB140" s="47">
        <f t="shared" si="75"/>
        <v>0</v>
      </c>
    </row>
    <row r="141" spans="2:80" ht="15" hidden="1" outlineLevel="1" x14ac:dyDescent="0.2">
      <c r="B141" s="18">
        <f t="shared" si="69"/>
        <v>44060</v>
      </c>
      <c r="C141" s="17" t="s">
        <v>1</v>
      </c>
      <c r="D141" s="19">
        <f t="shared" si="70"/>
        <v>44066</v>
      </c>
      <c r="E141" s="20">
        <f t="shared" si="71"/>
        <v>8</v>
      </c>
      <c r="F141" s="21">
        <f t="shared" si="72"/>
        <v>2020</v>
      </c>
      <c r="G141" s="11">
        <f t="shared" si="73"/>
        <v>22</v>
      </c>
      <c r="H141" s="10">
        <f t="shared" si="73"/>
        <v>66</v>
      </c>
      <c r="I141" s="11"/>
      <c r="J141" s="11"/>
      <c r="K141" s="11"/>
      <c r="L141" s="11"/>
      <c r="M141" s="11"/>
      <c r="N141" s="11"/>
      <c r="O141" s="14"/>
      <c r="P141" s="14"/>
      <c r="Q141" s="14"/>
      <c r="R141" s="14"/>
      <c r="S141" s="14"/>
      <c r="T141" s="14"/>
      <c r="V141" s="22">
        <f t="shared" si="68"/>
        <v>17</v>
      </c>
      <c r="W141" s="22">
        <f t="shared" si="68"/>
        <v>0</v>
      </c>
      <c r="X141" s="22">
        <f t="shared" si="68"/>
        <v>0</v>
      </c>
      <c r="Y141" s="22">
        <f t="shared" si="68"/>
        <v>0</v>
      </c>
      <c r="Z141" s="22">
        <f t="shared" si="68"/>
        <v>0</v>
      </c>
      <c r="AA141" s="22">
        <f t="shared" si="68"/>
        <v>0</v>
      </c>
      <c r="AB141" s="1"/>
      <c r="AC141" s="5">
        <f t="shared" si="43"/>
        <v>0</v>
      </c>
      <c r="AD141" s="5">
        <f t="shared" si="44"/>
        <v>65</v>
      </c>
      <c r="AE141" s="5">
        <f t="shared" si="45"/>
        <v>47</v>
      </c>
      <c r="AF141" s="5">
        <f t="shared" si="46"/>
        <v>0</v>
      </c>
      <c r="AG141" s="5">
        <f t="shared" si="47"/>
        <v>0</v>
      </c>
      <c r="AH141" s="5">
        <f t="shared" si="48"/>
        <v>0</v>
      </c>
      <c r="AI141" s="5">
        <f t="shared" si="49"/>
        <v>0</v>
      </c>
      <c r="AJ141" s="5">
        <f t="shared" si="50"/>
        <v>0</v>
      </c>
      <c r="AK141" s="5">
        <f t="shared" si="51"/>
        <v>0</v>
      </c>
      <c r="AL141" s="5">
        <f t="shared" si="52"/>
        <v>0</v>
      </c>
      <c r="AM141" s="5">
        <f t="shared" si="53"/>
        <v>0</v>
      </c>
      <c r="AN141" s="5">
        <f t="shared" si="54"/>
        <v>0</v>
      </c>
      <c r="AO141" s="5">
        <f t="shared" si="55"/>
        <v>0</v>
      </c>
      <c r="AP141" s="5">
        <f t="shared" si="56"/>
        <v>0</v>
      </c>
      <c r="AQ141" s="5">
        <f t="shared" si="57"/>
        <v>0</v>
      </c>
      <c r="AR141" s="5">
        <f t="shared" si="58"/>
        <v>0</v>
      </c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M141" s="40">
        <f>IF(OR(V140=4,V140=8,V140=12,V140=16,V140=20),$CA$1,0)</f>
        <v>161491.14583333334</v>
      </c>
      <c r="BN141" s="40">
        <f>IF(OR(W140=4,W140=8,W140=12,W140=16,W140=20),$CA$1,0)</f>
        <v>0</v>
      </c>
      <c r="BO141" s="40">
        <f>IF(OR(X140=4,X140=8,X140=12,X140=16,X140=20),$CA$1,0)</f>
        <v>0</v>
      </c>
      <c r="BP141" s="40">
        <f>IF(OR(Y140=4,Y140=8,Y140=12,Y140=16,Y140=20),$CA$1,0)</f>
        <v>0</v>
      </c>
      <c r="BQ141" s="40">
        <f>IF(OR(Z140=4,Z140=8,Z140=12,Z140=16,Z140=20),$CA$1,0)</f>
        <v>0</v>
      </c>
      <c r="BR141" s="40">
        <f>IF(OR(AA140=4,AA140=8,AA140=12,AA140=16,AA140=20),$CA$1,0)</f>
        <v>0</v>
      </c>
      <c r="BS141" s="40">
        <f>IF(V137=20,$CB$1,0)</f>
        <v>0</v>
      </c>
      <c r="BT141" s="40">
        <f>IF(W137=20,$CB$1,0)</f>
        <v>0</v>
      </c>
      <c r="BU141" s="40">
        <f>IF(X137=20,$CB$1,0)</f>
        <v>0</v>
      </c>
      <c r="BV141" s="40">
        <f>IF(Y137=20,$CB$1,0)</f>
        <v>0</v>
      </c>
      <c r="BW141" s="40">
        <f>IF(Z137=20,$CB$1,0)</f>
        <v>0</v>
      </c>
      <c r="BX141" s="40">
        <f>IF(AA137=20,$CB$1,0)</f>
        <v>0</v>
      </c>
      <c r="BY141" s="41">
        <f t="shared" si="64"/>
        <v>161491.14583333334</v>
      </c>
      <c r="BZ141" s="41">
        <f t="shared" si="74"/>
        <v>161491.14583333334</v>
      </c>
      <c r="CA141" s="58">
        <f t="shared" si="65"/>
        <v>44060</v>
      </c>
      <c r="CB141" s="47">
        <f t="shared" si="75"/>
        <v>0</v>
      </c>
    </row>
    <row r="142" spans="2:80" ht="15" hidden="1" outlineLevel="1" x14ac:dyDescent="0.2">
      <c r="B142" s="18">
        <f t="shared" si="69"/>
        <v>44067</v>
      </c>
      <c r="C142" s="17" t="s">
        <v>1</v>
      </c>
      <c r="D142" s="19">
        <f t="shared" si="70"/>
        <v>44073</v>
      </c>
      <c r="E142" s="20">
        <f t="shared" si="71"/>
        <v>8</v>
      </c>
      <c r="F142" s="21">
        <f t="shared" si="72"/>
        <v>2020</v>
      </c>
      <c r="G142" s="11">
        <f t="shared" si="73"/>
        <v>22</v>
      </c>
      <c r="H142" s="10">
        <f t="shared" si="73"/>
        <v>66</v>
      </c>
      <c r="I142" s="11"/>
      <c r="J142" s="11"/>
      <c r="K142" s="11"/>
      <c r="L142" s="11"/>
      <c r="M142" s="11"/>
      <c r="N142" s="11"/>
      <c r="O142" s="14"/>
      <c r="P142" s="14"/>
      <c r="Q142" s="14"/>
      <c r="R142" s="14"/>
      <c r="S142" s="14"/>
      <c r="T142" s="14"/>
      <c r="V142" s="22">
        <f t="shared" si="68"/>
        <v>18</v>
      </c>
      <c r="W142" s="22">
        <f t="shared" si="68"/>
        <v>0</v>
      </c>
      <c r="X142" s="22">
        <f t="shared" si="68"/>
        <v>0</v>
      </c>
      <c r="Y142" s="22">
        <f t="shared" si="68"/>
        <v>0</v>
      </c>
      <c r="Z142" s="22">
        <f t="shared" si="68"/>
        <v>0</v>
      </c>
      <c r="AA142" s="22">
        <f t="shared" si="68"/>
        <v>0</v>
      </c>
      <c r="AB142" s="1"/>
      <c r="AC142" s="5">
        <f t="shared" si="43"/>
        <v>0</v>
      </c>
      <c r="AD142" s="5">
        <f t="shared" si="44"/>
        <v>66</v>
      </c>
      <c r="AE142" s="5">
        <f t="shared" si="45"/>
        <v>48</v>
      </c>
      <c r="AF142" s="5">
        <f t="shared" si="46"/>
        <v>0</v>
      </c>
      <c r="AG142" s="5">
        <f t="shared" si="47"/>
        <v>0</v>
      </c>
      <c r="AH142" s="5">
        <f t="shared" si="48"/>
        <v>0</v>
      </c>
      <c r="AI142" s="5">
        <f t="shared" si="49"/>
        <v>0</v>
      </c>
      <c r="AJ142" s="5">
        <f t="shared" si="50"/>
        <v>0</v>
      </c>
      <c r="AK142" s="5">
        <f t="shared" si="51"/>
        <v>0</v>
      </c>
      <c r="AL142" s="5">
        <f t="shared" si="52"/>
        <v>0</v>
      </c>
      <c r="AM142" s="5">
        <f t="shared" si="53"/>
        <v>0</v>
      </c>
      <c r="AN142" s="5">
        <f t="shared" si="54"/>
        <v>0</v>
      </c>
      <c r="AO142" s="5">
        <f t="shared" si="55"/>
        <v>0</v>
      </c>
      <c r="AP142" s="5">
        <f t="shared" si="56"/>
        <v>0</v>
      </c>
      <c r="AQ142" s="5">
        <f t="shared" si="57"/>
        <v>0</v>
      </c>
      <c r="AR142" s="5">
        <f t="shared" si="58"/>
        <v>0</v>
      </c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M142" s="40">
        <f>IF(OR(V141=4,V141=8,V141=12,V141=16,V141=20),$CA$1,0)</f>
        <v>0</v>
      </c>
      <c r="BN142" s="40">
        <f>IF(OR(W141=4,W141=8,W141=12,W141=16,W141=20),$CA$1,0)</f>
        <v>0</v>
      </c>
      <c r="BO142" s="40">
        <f>IF(OR(X141=4,X141=8,X141=12,X141=16,X141=20),$CA$1,0)</f>
        <v>0</v>
      </c>
      <c r="BP142" s="40">
        <f>IF(OR(Y141=4,Y141=8,Y141=12,Y141=16,Y141=20),$CA$1,0)</f>
        <v>0</v>
      </c>
      <c r="BQ142" s="40">
        <f>IF(OR(Z141=4,Z141=8,Z141=12,Z141=16,Z141=20),$CA$1,0)</f>
        <v>0</v>
      </c>
      <c r="BR142" s="40">
        <f>IF(OR(AA141=4,AA141=8,AA141=12,AA141=16,AA141=20),$CA$1,0)</f>
        <v>0</v>
      </c>
      <c r="BS142" s="40">
        <f>IF(V138=20,$CB$1,0)</f>
        <v>0</v>
      </c>
      <c r="BT142" s="40">
        <f>IF(W138=20,$CB$1,0)</f>
        <v>0</v>
      </c>
      <c r="BU142" s="40">
        <f>IF(X138=20,$CB$1,0)</f>
        <v>0</v>
      </c>
      <c r="BV142" s="40">
        <f>IF(Y138=20,$CB$1,0)</f>
        <v>0</v>
      </c>
      <c r="BW142" s="40">
        <f>IF(Z138=20,$CB$1,0)</f>
        <v>0</v>
      </c>
      <c r="BX142" s="40">
        <f>IF(AA138=20,$CB$1,0)</f>
        <v>0</v>
      </c>
      <c r="BY142" s="41">
        <f t="shared" si="64"/>
        <v>0</v>
      </c>
      <c r="BZ142" s="41">
        <f t="shared" si="74"/>
        <v>161491.14583333334</v>
      </c>
      <c r="CA142" s="58">
        <f t="shared" si="65"/>
        <v>44067</v>
      </c>
      <c r="CB142" s="47">
        <f t="shared" si="75"/>
        <v>0</v>
      </c>
    </row>
    <row r="143" spans="2:80" ht="15" hidden="1" outlineLevel="1" x14ac:dyDescent="0.2">
      <c r="B143" s="18">
        <f t="shared" si="69"/>
        <v>44074</v>
      </c>
      <c r="C143" s="17" t="s">
        <v>1</v>
      </c>
      <c r="D143" s="19">
        <f t="shared" si="70"/>
        <v>44080</v>
      </c>
      <c r="E143" s="20">
        <f t="shared" si="71"/>
        <v>8</v>
      </c>
      <c r="F143" s="21">
        <f t="shared" si="72"/>
        <v>2020</v>
      </c>
      <c r="G143" s="11">
        <f t="shared" si="73"/>
        <v>22</v>
      </c>
      <c r="H143" s="10">
        <f t="shared" si="73"/>
        <v>66</v>
      </c>
      <c r="I143" s="11"/>
      <c r="J143" s="11"/>
      <c r="K143" s="11"/>
      <c r="L143" s="11"/>
      <c r="M143" s="11"/>
      <c r="N143" s="11"/>
      <c r="O143" s="14"/>
      <c r="P143" s="14"/>
      <c r="Q143" s="14"/>
      <c r="R143" s="14"/>
      <c r="S143" s="14"/>
      <c r="T143" s="14"/>
      <c r="V143" s="22">
        <f t="shared" si="68"/>
        <v>19</v>
      </c>
      <c r="W143" s="22">
        <f t="shared" si="68"/>
        <v>0</v>
      </c>
      <c r="X143" s="22">
        <f t="shared" si="68"/>
        <v>0</v>
      </c>
      <c r="Y143" s="22">
        <f t="shared" si="68"/>
        <v>0</v>
      </c>
      <c r="Z143" s="22">
        <f t="shared" si="68"/>
        <v>0</v>
      </c>
      <c r="AA143" s="22">
        <f t="shared" si="68"/>
        <v>0</v>
      </c>
      <c r="AB143" s="1"/>
      <c r="AC143" s="5">
        <f t="shared" si="43"/>
        <v>0</v>
      </c>
      <c r="AD143" s="5">
        <f t="shared" si="44"/>
        <v>0</v>
      </c>
      <c r="AE143" s="5">
        <f t="shared" si="45"/>
        <v>49</v>
      </c>
      <c r="AF143" s="5">
        <f t="shared" si="46"/>
        <v>0</v>
      </c>
      <c r="AG143" s="5">
        <f t="shared" si="47"/>
        <v>0</v>
      </c>
      <c r="AH143" s="5">
        <f t="shared" si="48"/>
        <v>0</v>
      </c>
      <c r="AI143" s="5">
        <f t="shared" si="49"/>
        <v>0</v>
      </c>
      <c r="AJ143" s="5">
        <f t="shared" si="50"/>
        <v>0</v>
      </c>
      <c r="AK143" s="5">
        <f t="shared" si="51"/>
        <v>0</v>
      </c>
      <c r="AL143" s="5">
        <f t="shared" si="52"/>
        <v>0</v>
      </c>
      <c r="AM143" s="5">
        <f t="shared" si="53"/>
        <v>0</v>
      </c>
      <c r="AN143" s="5">
        <f t="shared" si="54"/>
        <v>0</v>
      </c>
      <c r="AO143" s="5">
        <f t="shared" si="55"/>
        <v>0</v>
      </c>
      <c r="AP143" s="5">
        <f t="shared" si="56"/>
        <v>0</v>
      </c>
      <c r="AQ143" s="5">
        <f t="shared" si="57"/>
        <v>0</v>
      </c>
      <c r="AR143" s="5">
        <f t="shared" si="58"/>
        <v>0</v>
      </c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M143" s="40">
        <f>IF(OR(V142=4,V142=8,V142=12,V142=16,V142=20),$CA$1,0)</f>
        <v>0</v>
      </c>
      <c r="BN143" s="40">
        <f>IF(OR(W142=4,W142=8,W142=12,W142=16,W142=20),$CA$1,0)</f>
        <v>0</v>
      </c>
      <c r="BO143" s="40">
        <f>IF(OR(X142=4,X142=8,X142=12,X142=16,X142=20),$CA$1,0)</f>
        <v>0</v>
      </c>
      <c r="BP143" s="40">
        <f>IF(OR(Y142=4,Y142=8,Y142=12,Y142=16,Y142=20),$CA$1,0)</f>
        <v>0</v>
      </c>
      <c r="BQ143" s="40">
        <f>IF(OR(Z142=4,Z142=8,Z142=12,Z142=16,Z142=20),$CA$1,0)</f>
        <v>0</v>
      </c>
      <c r="BR143" s="40">
        <f>IF(OR(AA142=4,AA142=8,AA142=12,AA142=16,AA142=20),$CA$1,0)</f>
        <v>0</v>
      </c>
      <c r="BS143" s="40">
        <f>IF(V139=20,$CB$1,0)</f>
        <v>0</v>
      </c>
      <c r="BT143" s="40">
        <f>IF(W139=20,$CB$1,0)</f>
        <v>0</v>
      </c>
      <c r="BU143" s="40">
        <f>IF(X139=20,$CB$1,0)</f>
        <v>0</v>
      </c>
      <c r="BV143" s="40">
        <f>IF(Y139=20,$CB$1,0)</f>
        <v>0</v>
      </c>
      <c r="BW143" s="40">
        <f>IF(Z139=20,$CB$1,0)</f>
        <v>0</v>
      </c>
      <c r="BX143" s="40">
        <f>IF(AA139=20,$CB$1,0)</f>
        <v>0</v>
      </c>
      <c r="BY143" s="41">
        <f t="shared" si="64"/>
        <v>0</v>
      </c>
      <c r="BZ143" s="41">
        <f t="shared" si="74"/>
        <v>161491.14583333334</v>
      </c>
      <c r="CA143" s="58">
        <f t="shared" si="65"/>
        <v>44074</v>
      </c>
      <c r="CB143" s="47">
        <f t="shared" si="75"/>
        <v>161491.14583333334</v>
      </c>
    </row>
    <row r="144" spans="2:80" ht="15" hidden="1" outlineLevel="1" x14ac:dyDescent="0.2">
      <c r="B144" s="18">
        <f t="shared" si="69"/>
        <v>44081</v>
      </c>
      <c r="C144" s="17" t="s">
        <v>1</v>
      </c>
      <c r="D144" s="19">
        <f t="shared" si="70"/>
        <v>44087</v>
      </c>
      <c r="E144" s="20">
        <f t="shared" si="71"/>
        <v>9</v>
      </c>
      <c r="F144" s="21">
        <f t="shared" si="72"/>
        <v>2020</v>
      </c>
      <c r="G144" s="11">
        <f t="shared" si="73"/>
        <v>22</v>
      </c>
      <c r="H144" s="10">
        <f t="shared" si="73"/>
        <v>66</v>
      </c>
      <c r="I144" s="11"/>
      <c r="J144" s="11"/>
      <c r="K144" s="11"/>
      <c r="L144" s="11"/>
      <c r="M144" s="11"/>
      <c r="N144" s="11"/>
      <c r="O144" s="14"/>
      <c r="P144" s="14"/>
      <c r="Q144" s="14"/>
      <c r="R144" s="14"/>
      <c r="S144" s="14"/>
      <c r="T144" s="14"/>
      <c r="V144" s="22">
        <f t="shared" si="68"/>
        <v>20</v>
      </c>
      <c r="W144" s="22">
        <f t="shared" si="68"/>
        <v>0</v>
      </c>
      <c r="X144" s="22">
        <f t="shared" si="68"/>
        <v>0</v>
      </c>
      <c r="Y144" s="22">
        <f t="shared" si="68"/>
        <v>0</v>
      </c>
      <c r="Z144" s="22">
        <f t="shared" si="68"/>
        <v>0</v>
      </c>
      <c r="AA144" s="22">
        <f t="shared" si="68"/>
        <v>0</v>
      </c>
      <c r="AB144" s="1"/>
      <c r="AC144" s="5">
        <f t="shared" si="43"/>
        <v>0</v>
      </c>
      <c r="AD144" s="5">
        <f t="shared" si="44"/>
        <v>0</v>
      </c>
      <c r="AE144" s="5">
        <f t="shared" si="45"/>
        <v>50</v>
      </c>
      <c r="AF144" s="5">
        <f t="shared" si="46"/>
        <v>0</v>
      </c>
      <c r="AG144" s="5">
        <f t="shared" si="47"/>
        <v>0</v>
      </c>
      <c r="AH144" s="5">
        <f t="shared" si="48"/>
        <v>0</v>
      </c>
      <c r="AI144" s="5">
        <f t="shared" si="49"/>
        <v>0</v>
      </c>
      <c r="AJ144" s="5">
        <f t="shared" si="50"/>
        <v>0</v>
      </c>
      <c r="AK144" s="5">
        <f t="shared" si="51"/>
        <v>0</v>
      </c>
      <c r="AL144" s="5">
        <f t="shared" si="52"/>
        <v>0</v>
      </c>
      <c r="AM144" s="5">
        <f t="shared" si="53"/>
        <v>0</v>
      </c>
      <c r="AN144" s="5">
        <f t="shared" si="54"/>
        <v>0</v>
      </c>
      <c r="AO144" s="5">
        <f t="shared" si="55"/>
        <v>0</v>
      </c>
      <c r="AP144" s="5">
        <f t="shared" si="56"/>
        <v>0</v>
      </c>
      <c r="AQ144" s="5">
        <f t="shared" si="57"/>
        <v>0</v>
      </c>
      <c r="AR144" s="5">
        <f t="shared" si="58"/>
        <v>0</v>
      </c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M144" s="40">
        <f>IF(OR(V143=4,V143=8,V143=12,V143=16,V143=20),$CA$1,0)</f>
        <v>0</v>
      </c>
      <c r="BN144" s="40">
        <f>IF(OR(W143=4,W143=8,W143=12,W143=16,W143=20),$CA$1,0)</f>
        <v>0</v>
      </c>
      <c r="BO144" s="40">
        <f>IF(OR(X143=4,X143=8,X143=12,X143=16,X143=20),$CA$1,0)</f>
        <v>0</v>
      </c>
      <c r="BP144" s="40">
        <f>IF(OR(Y143=4,Y143=8,Y143=12,Y143=16,Y143=20),$CA$1,0)</f>
        <v>0</v>
      </c>
      <c r="BQ144" s="40">
        <f>IF(OR(Z143=4,Z143=8,Z143=12,Z143=16,Z143=20),$CA$1,0)</f>
        <v>0</v>
      </c>
      <c r="BR144" s="40">
        <f>IF(OR(AA143=4,AA143=8,AA143=12,AA143=16,AA143=20),$CA$1,0)</f>
        <v>0</v>
      </c>
      <c r="BS144" s="40">
        <f>IF(V140=20,$CB$1,0)</f>
        <v>0</v>
      </c>
      <c r="BT144" s="40">
        <f>IF(W140=20,$CB$1,0)</f>
        <v>0</v>
      </c>
      <c r="BU144" s="40">
        <f>IF(X140=20,$CB$1,0)</f>
        <v>0</v>
      </c>
      <c r="BV144" s="40">
        <f>IF(Y140=20,$CB$1,0)</f>
        <v>0</v>
      </c>
      <c r="BW144" s="40">
        <f>IF(Z140=20,$CB$1,0)</f>
        <v>0</v>
      </c>
      <c r="BX144" s="40">
        <f>IF(AA140=20,$CB$1,0)</f>
        <v>0</v>
      </c>
      <c r="BY144" s="41">
        <f t="shared" si="64"/>
        <v>0</v>
      </c>
      <c r="BZ144" s="41">
        <f t="shared" si="74"/>
        <v>0</v>
      </c>
      <c r="CA144" s="58">
        <f t="shared" si="65"/>
        <v>44081</v>
      </c>
      <c r="CB144" s="47">
        <f t="shared" si="75"/>
        <v>0</v>
      </c>
    </row>
    <row r="145" spans="1:83" ht="15" hidden="1" outlineLevel="1" x14ac:dyDescent="0.2">
      <c r="B145" s="18">
        <f t="shared" si="69"/>
        <v>44088</v>
      </c>
      <c r="C145" s="17" t="s">
        <v>1</v>
      </c>
      <c r="D145" s="19">
        <f t="shared" si="70"/>
        <v>44094</v>
      </c>
      <c r="E145" s="20">
        <f t="shared" si="71"/>
        <v>9</v>
      </c>
      <c r="F145" s="21">
        <f t="shared" si="72"/>
        <v>2020</v>
      </c>
      <c r="G145" s="11">
        <f t="shared" si="73"/>
        <v>22</v>
      </c>
      <c r="H145" s="10">
        <f t="shared" si="73"/>
        <v>66</v>
      </c>
      <c r="I145" s="11"/>
      <c r="J145" s="11"/>
      <c r="K145" s="11"/>
      <c r="L145" s="11"/>
      <c r="M145" s="11"/>
      <c r="N145" s="11"/>
      <c r="O145" s="14"/>
      <c r="P145" s="14"/>
      <c r="Q145" s="14"/>
      <c r="R145" s="14"/>
      <c r="S145" s="14"/>
      <c r="T145" s="14"/>
      <c r="V145" s="22">
        <f t="shared" si="68"/>
        <v>21</v>
      </c>
      <c r="W145" s="22">
        <f t="shared" si="68"/>
        <v>0</v>
      </c>
      <c r="X145" s="22">
        <f t="shared" si="68"/>
        <v>0</v>
      </c>
      <c r="Y145" s="22">
        <f t="shared" si="68"/>
        <v>0</v>
      </c>
      <c r="Z145" s="22">
        <f t="shared" si="68"/>
        <v>0</v>
      </c>
      <c r="AA145" s="22">
        <f t="shared" si="68"/>
        <v>0</v>
      </c>
      <c r="AB145" s="1"/>
      <c r="AC145" s="5">
        <f t="shared" si="43"/>
        <v>0</v>
      </c>
      <c r="AD145" s="5">
        <f t="shared" si="44"/>
        <v>0</v>
      </c>
      <c r="AE145" s="5">
        <f t="shared" si="45"/>
        <v>51</v>
      </c>
      <c r="AF145" s="5">
        <f t="shared" si="46"/>
        <v>0</v>
      </c>
      <c r="AG145" s="5">
        <f t="shared" si="47"/>
        <v>0</v>
      </c>
      <c r="AH145" s="5">
        <f t="shared" si="48"/>
        <v>0</v>
      </c>
      <c r="AI145" s="5">
        <f t="shared" si="49"/>
        <v>0</v>
      </c>
      <c r="AJ145" s="5">
        <f t="shared" si="50"/>
        <v>0</v>
      </c>
      <c r="AK145" s="5">
        <f t="shared" si="51"/>
        <v>0</v>
      </c>
      <c r="AL145" s="5">
        <f t="shared" si="52"/>
        <v>0</v>
      </c>
      <c r="AM145" s="5">
        <f t="shared" si="53"/>
        <v>0</v>
      </c>
      <c r="AN145" s="5">
        <f t="shared" si="54"/>
        <v>0</v>
      </c>
      <c r="AO145" s="5">
        <f t="shared" si="55"/>
        <v>0</v>
      </c>
      <c r="AP145" s="5">
        <f t="shared" si="56"/>
        <v>0</v>
      </c>
      <c r="AQ145" s="5">
        <f t="shared" si="57"/>
        <v>0</v>
      </c>
      <c r="AR145" s="5">
        <f t="shared" si="58"/>
        <v>0</v>
      </c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M145" s="40">
        <f>IF(OR(V144=4,V144=8,V144=12,V144=16,V144=20),$CA$1,0)</f>
        <v>161491.14583333334</v>
      </c>
      <c r="BN145" s="40">
        <f>IF(OR(W144=4,W144=8,W144=12,W144=16,W144=20),$CA$1,0)</f>
        <v>0</v>
      </c>
      <c r="BO145" s="40">
        <f>IF(OR(X144=4,X144=8,X144=12,X144=16,X144=20),$CA$1,0)</f>
        <v>0</v>
      </c>
      <c r="BP145" s="40">
        <f>IF(OR(Y144=4,Y144=8,Y144=12,Y144=16,Y144=20),$CA$1,0)</f>
        <v>0</v>
      </c>
      <c r="BQ145" s="40">
        <f>IF(OR(Z144=4,Z144=8,Z144=12,Z144=16,Z144=20),$CA$1,0)</f>
        <v>0</v>
      </c>
      <c r="BR145" s="40">
        <f>IF(OR(AA144=4,AA144=8,AA144=12,AA144=16,AA144=20),$CA$1,0)</f>
        <v>0</v>
      </c>
      <c r="BS145" s="40">
        <f>IF(V141=20,$CB$1,0)</f>
        <v>0</v>
      </c>
      <c r="BT145" s="40">
        <f>IF(W141=20,$CB$1,0)</f>
        <v>0</v>
      </c>
      <c r="BU145" s="40">
        <f>IF(X141=20,$CB$1,0)</f>
        <v>0</v>
      </c>
      <c r="BV145" s="40">
        <f>IF(Y141=20,$CB$1,0)</f>
        <v>0</v>
      </c>
      <c r="BW145" s="40">
        <f>IF(Z141=20,$CB$1,0)</f>
        <v>0</v>
      </c>
      <c r="BX145" s="40">
        <f>IF(AA141=20,$CB$1,0)</f>
        <v>0</v>
      </c>
      <c r="BY145" s="41">
        <f t="shared" si="64"/>
        <v>161491.14583333334</v>
      </c>
      <c r="BZ145" s="41">
        <f t="shared" si="74"/>
        <v>161491.14583333334</v>
      </c>
      <c r="CA145" s="58">
        <f t="shared" si="65"/>
        <v>44088</v>
      </c>
      <c r="CB145" s="47">
        <f t="shared" si="75"/>
        <v>0</v>
      </c>
    </row>
    <row r="146" spans="1:83" ht="15" hidden="1" outlineLevel="1" x14ac:dyDescent="0.2">
      <c r="B146" s="18">
        <f t="shared" si="69"/>
        <v>44095</v>
      </c>
      <c r="C146" s="17" t="s">
        <v>1</v>
      </c>
      <c r="D146" s="19">
        <f t="shared" si="70"/>
        <v>44101</v>
      </c>
      <c r="E146" s="20">
        <f t="shared" si="71"/>
        <v>9</v>
      </c>
      <c r="F146" s="21">
        <f t="shared" si="72"/>
        <v>2020</v>
      </c>
      <c r="G146" s="11">
        <f t="shared" si="73"/>
        <v>22</v>
      </c>
      <c r="H146" s="10">
        <f t="shared" si="73"/>
        <v>66</v>
      </c>
      <c r="I146" s="11"/>
      <c r="J146" s="11"/>
      <c r="K146" s="11"/>
      <c r="L146" s="11"/>
      <c r="M146" s="11"/>
      <c r="N146" s="11"/>
      <c r="O146" s="14"/>
      <c r="P146" s="14"/>
      <c r="Q146" s="14"/>
      <c r="R146" s="14"/>
      <c r="S146" s="14"/>
      <c r="T146" s="14"/>
      <c r="V146" s="22">
        <f t="shared" si="68"/>
        <v>22</v>
      </c>
      <c r="W146" s="22">
        <f t="shared" si="68"/>
        <v>0</v>
      </c>
      <c r="X146" s="22">
        <f t="shared" si="68"/>
        <v>0</v>
      </c>
      <c r="Y146" s="22">
        <f t="shared" si="68"/>
        <v>0</v>
      </c>
      <c r="Z146" s="22">
        <f t="shared" si="68"/>
        <v>0</v>
      </c>
      <c r="AA146" s="22">
        <f t="shared" si="68"/>
        <v>0</v>
      </c>
      <c r="AB146" s="1"/>
      <c r="AC146" s="5">
        <f t="shared" si="43"/>
        <v>22</v>
      </c>
      <c r="AD146" s="5">
        <f t="shared" si="44"/>
        <v>0</v>
      </c>
      <c r="AE146" s="5">
        <f t="shared" si="45"/>
        <v>52</v>
      </c>
      <c r="AF146" s="5">
        <f t="shared" si="46"/>
        <v>0</v>
      </c>
      <c r="AG146" s="5">
        <f t="shared" si="47"/>
        <v>0</v>
      </c>
      <c r="AH146" s="5">
        <f t="shared" si="48"/>
        <v>0</v>
      </c>
      <c r="AI146" s="5">
        <f t="shared" si="49"/>
        <v>0</v>
      </c>
      <c r="AJ146" s="5">
        <f t="shared" si="50"/>
        <v>0</v>
      </c>
      <c r="AK146" s="5">
        <f t="shared" si="51"/>
        <v>0</v>
      </c>
      <c r="AL146" s="5">
        <f t="shared" si="52"/>
        <v>0</v>
      </c>
      <c r="AM146" s="5">
        <f t="shared" si="53"/>
        <v>0</v>
      </c>
      <c r="AN146" s="5">
        <f t="shared" si="54"/>
        <v>0</v>
      </c>
      <c r="AO146" s="5">
        <f t="shared" si="55"/>
        <v>0</v>
      </c>
      <c r="AP146" s="5">
        <f t="shared" si="56"/>
        <v>0</v>
      </c>
      <c r="AQ146" s="5">
        <f t="shared" si="57"/>
        <v>0</v>
      </c>
      <c r="AR146" s="5">
        <f t="shared" si="58"/>
        <v>0</v>
      </c>
      <c r="AS146" s="10">
        <v>1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M146" s="40">
        <f>IF(OR(V145=4,V145=8,V145=12,V145=16,V145=20),$CA$1,0)</f>
        <v>0</v>
      </c>
      <c r="BN146" s="40">
        <f>IF(OR(W145=4,W145=8,W145=12,W145=16,W145=20),$CA$1,0)</f>
        <v>0</v>
      </c>
      <c r="BO146" s="40">
        <f>IF(OR(X145=4,X145=8,X145=12,X145=16,X145=20),$CA$1,0)</f>
        <v>0</v>
      </c>
      <c r="BP146" s="40">
        <f>IF(OR(Y145=4,Y145=8,Y145=12,Y145=16,Y145=20),$CA$1,0)</f>
        <v>0</v>
      </c>
      <c r="BQ146" s="40">
        <f>IF(OR(Z145=4,Z145=8,Z145=12,Z145=16,Z145=20),$CA$1,0)</f>
        <v>0</v>
      </c>
      <c r="BR146" s="40">
        <f>IF(OR(AA145=4,AA145=8,AA145=12,AA145=16,AA145=20),$CA$1,0)</f>
        <v>0</v>
      </c>
      <c r="BS146" s="40">
        <f>IF(V142=20,$CB$1,0)</f>
        <v>0</v>
      </c>
      <c r="BT146" s="40">
        <f>IF(W142=20,$CB$1,0)</f>
        <v>0</v>
      </c>
      <c r="BU146" s="40">
        <f>IF(X142=20,$CB$1,0)</f>
        <v>0</v>
      </c>
      <c r="BV146" s="40">
        <f>IF(Y142=20,$CB$1,0)</f>
        <v>0</v>
      </c>
      <c r="BW146" s="40">
        <f>IF(Z142=20,$CB$1,0)</f>
        <v>0</v>
      </c>
      <c r="BX146" s="40">
        <f>IF(AA142=20,$CB$1,0)</f>
        <v>0</v>
      </c>
      <c r="BY146" s="41">
        <f t="shared" si="64"/>
        <v>0</v>
      </c>
      <c r="BZ146" s="41">
        <f t="shared" si="74"/>
        <v>161491.14583333334</v>
      </c>
      <c r="CA146" s="58">
        <f t="shared" si="65"/>
        <v>44095</v>
      </c>
      <c r="CB146" s="47">
        <f t="shared" si="75"/>
        <v>0</v>
      </c>
    </row>
    <row r="147" spans="1:83" ht="15" hidden="1" outlineLevel="1" x14ac:dyDescent="0.2">
      <c r="B147" s="18">
        <f t="shared" si="69"/>
        <v>44102</v>
      </c>
      <c r="C147" s="17" t="s">
        <v>1</v>
      </c>
      <c r="D147" s="19">
        <f t="shared" si="70"/>
        <v>44108</v>
      </c>
      <c r="E147" s="20">
        <f t="shared" si="71"/>
        <v>9</v>
      </c>
      <c r="F147" s="21">
        <f t="shared" si="72"/>
        <v>2020</v>
      </c>
      <c r="G147" s="11">
        <f t="shared" si="73"/>
        <v>22</v>
      </c>
      <c r="H147" s="10">
        <f t="shared" si="73"/>
        <v>66</v>
      </c>
      <c r="I147" s="11"/>
      <c r="J147" s="11"/>
      <c r="K147" s="11"/>
      <c r="L147" s="11"/>
      <c r="M147" s="11"/>
      <c r="N147" s="11"/>
      <c r="O147" s="14"/>
      <c r="P147" s="14"/>
      <c r="Q147" s="14"/>
      <c r="R147" s="14"/>
      <c r="S147" s="14"/>
      <c r="T147" s="14"/>
      <c r="V147" s="22">
        <f t="shared" si="68"/>
        <v>0</v>
      </c>
      <c r="W147" s="22">
        <f t="shared" si="68"/>
        <v>0</v>
      </c>
      <c r="X147" s="22">
        <f t="shared" si="68"/>
        <v>0</v>
      </c>
      <c r="Y147" s="22">
        <f t="shared" si="68"/>
        <v>0</v>
      </c>
      <c r="Z147" s="22">
        <f t="shared" si="68"/>
        <v>0</v>
      </c>
      <c r="AA147" s="22">
        <f t="shared" si="68"/>
        <v>0</v>
      </c>
      <c r="AB147" s="1"/>
      <c r="AC147" s="5">
        <f t="shared" si="43"/>
        <v>23</v>
      </c>
      <c r="AD147" s="5">
        <f t="shared" si="44"/>
        <v>0</v>
      </c>
      <c r="AE147" s="5">
        <f t="shared" si="45"/>
        <v>53</v>
      </c>
      <c r="AF147" s="5">
        <f t="shared" si="46"/>
        <v>0</v>
      </c>
      <c r="AG147" s="5">
        <f t="shared" si="47"/>
        <v>0</v>
      </c>
      <c r="AH147" s="5">
        <f t="shared" si="48"/>
        <v>0</v>
      </c>
      <c r="AI147" s="5">
        <f t="shared" si="49"/>
        <v>0</v>
      </c>
      <c r="AJ147" s="5">
        <f t="shared" si="50"/>
        <v>0</v>
      </c>
      <c r="AK147" s="5">
        <f t="shared" si="51"/>
        <v>0</v>
      </c>
      <c r="AL147" s="5">
        <f t="shared" si="52"/>
        <v>0</v>
      </c>
      <c r="AM147" s="5">
        <f t="shared" si="53"/>
        <v>0</v>
      </c>
      <c r="AN147" s="5">
        <f t="shared" si="54"/>
        <v>0</v>
      </c>
      <c r="AO147" s="5">
        <f t="shared" si="55"/>
        <v>0</v>
      </c>
      <c r="AP147" s="5">
        <f t="shared" si="56"/>
        <v>0</v>
      </c>
      <c r="AQ147" s="5">
        <f t="shared" si="57"/>
        <v>0</v>
      </c>
      <c r="AR147" s="5">
        <f t="shared" si="58"/>
        <v>0</v>
      </c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M147" s="40">
        <f>IF(OR(V146=4,V146=8,V146=12,V146=16,V146=20),$CA$1,0)</f>
        <v>0</v>
      </c>
      <c r="BN147" s="40">
        <f>IF(OR(W146=4,W146=8,W146=12,W146=16,W146=20),$CA$1,0)</f>
        <v>0</v>
      </c>
      <c r="BO147" s="40">
        <f>IF(OR(X146=4,X146=8,X146=12,X146=16,X146=20),$CA$1,0)</f>
        <v>0</v>
      </c>
      <c r="BP147" s="40">
        <f>IF(OR(Y146=4,Y146=8,Y146=12,Y146=16,Y146=20),$CA$1,0)</f>
        <v>0</v>
      </c>
      <c r="BQ147" s="40">
        <f>IF(OR(Z146=4,Z146=8,Z146=12,Z146=16,Z146=20),$CA$1,0)</f>
        <v>0</v>
      </c>
      <c r="BR147" s="40">
        <f>IF(OR(AA146=4,AA146=8,AA146=12,AA146=16,AA146=20),$CA$1,0)</f>
        <v>0</v>
      </c>
      <c r="BS147" s="40">
        <f>IF(V143=20,$CB$1,0)</f>
        <v>0</v>
      </c>
      <c r="BT147" s="40">
        <f>IF(W143=20,$CB$1,0)</f>
        <v>0</v>
      </c>
      <c r="BU147" s="40">
        <f>IF(X143=20,$CB$1,0)</f>
        <v>0</v>
      </c>
      <c r="BV147" s="40">
        <f>IF(Y143=20,$CB$1,0)</f>
        <v>0</v>
      </c>
      <c r="BW147" s="40">
        <f>IF(Z143=20,$CB$1,0)</f>
        <v>0</v>
      </c>
      <c r="BX147" s="40">
        <f>IF(AA143=20,$CB$1,0)</f>
        <v>0</v>
      </c>
      <c r="BY147" s="41">
        <f t="shared" si="64"/>
        <v>0</v>
      </c>
      <c r="BZ147" s="41">
        <f t="shared" si="74"/>
        <v>161491.14583333334</v>
      </c>
      <c r="CA147" s="58">
        <f t="shared" si="65"/>
        <v>44102</v>
      </c>
      <c r="CB147" s="47">
        <f t="shared" si="75"/>
        <v>161491.14583333334</v>
      </c>
    </row>
    <row r="148" spans="1:83" ht="15" hidden="1" outlineLevel="1" x14ac:dyDescent="0.2">
      <c r="B148" s="18">
        <f t="shared" si="69"/>
        <v>44109</v>
      </c>
      <c r="C148" s="17" t="s">
        <v>1</v>
      </c>
      <c r="D148" s="19">
        <f t="shared" si="70"/>
        <v>44115</v>
      </c>
      <c r="E148" s="20">
        <f t="shared" si="71"/>
        <v>10</v>
      </c>
      <c r="F148" s="21">
        <f t="shared" si="72"/>
        <v>2020</v>
      </c>
      <c r="G148" s="11">
        <f t="shared" si="73"/>
        <v>22</v>
      </c>
      <c r="H148" s="10">
        <f t="shared" si="73"/>
        <v>66</v>
      </c>
      <c r="I148" s="11"/>
      <c r="J148" s="11"/>
      <c r="K148" s="11"/>
      <c r="L148" s="11"/>
      <c r="M148" s="11"/>
      <c r="N148" s="11"/>
      <c r="O148" s="14">
        <v>1</v>
      </c>
      <c r="P148" s="14"/>
      <c r="Q148" s="14"/>
      <c r="R148" s="14"/>
      <c r="S148" s="14"/>
      <c r="T148" s="14"/>
      <c r="V148" s="22">
        <f t="shared" ref="V148:AA163" si="76">IF(I148&gt;0,I148,IF(O148=1,$B148+2,IF(O147=1,1,IF(O147=2,0,IF(V147=$G147,0,(IF(V147&gt;=1,V147+1,0)))))))</f>
        <v>44111</v>
      </c>
      <c r="W148" s="22">
        <f t="shared" si="76"/>
        <v>0</v>
      </c>
      <c r="X148" s="22">
        <f t="shared" si="76"/>
        <v>0</v>
      </c>
      <c r="Y148" s="22">
        <f t="shared" si="76"/>
        <v>0</v>
      </c>
      <c r="Z148" s="22">
        <f t="shared" si="76"/>
        <v>0</v>
      </c>
      <c r="AA148" s="22">
        <f t="shared" si="76"/>
        <v>0</v>
      </c>
      <c r="AB148" s="1"/>
      <c r="AC148" s="5">
        <f t="shared" si="43"/>
        <v>24</v>
      </c>
      <c r="AD148" s="5">
        <f t="shared" si="44"/>
        <v>0</v>
      </c>
      <c r="AE148" s="5">
        <f t="shared" si="45"/>
        <v>54</v>
      </c>
      <c r="AF148" s="5">
        <f t="shared" si="46"/>
        <v>0</v>
      </c>
      <c r="AG148" s="5">
        <f t="shared" si="47"/>
        <v>0</v>
      </c>
      <c r="AH148" s="5">
        <f t="shared" si="48"/>
        <v>0</v>
      </c>
      <c r="AI148" s="5">
        <f t="shared" si="49"/>
        <v>0</v>
      </c>
      <c r="AJ148" s="5">
        <f t="shared" si="50"/>
        <v>0</v>
      </c>
      <c r="AK148" s="5">
        <f t="shared" si="51"/>
        <v>0</v>
      </c>
      <c r="AL148" s="5">
        <f t="shared" si="52"/>
        <v>0</v>
      </c>
      <c r="AM148" s="5">
        <f t="shared" si="53"/>
        <v>0</v>
      </c>
      <c r="AN148" s="5">
        <f t="shared" si="54"/>
        <v>0</v>
      </c>
      <c r="AO148" s="5">
        <f t="shared" si="55"/>
        <v>0</v>
      </c>
      <c r="AP148" s="5">
        <f t="shared" si="56"/>
        <v>0</v>
      </c>
      <c r="AQ148" s="5">
        <f t="shared" si="57"/>
        <v>0</v>
      </c>
      <c r="AR148" s="5">
        <f t="shared" si="58"/>
        <v>0</v>
      </c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M148" s="40">
        <f>IF(OR(V147=4,V147=8,V147=12,V147=16,V147=20),$CA$1,0)</f>
        <v>0</v>
      </c>
      <c r="BN148" s="40">
        <f>IF(OR(W147=4,W147=8,W147=12,W147=16,W147=20),$CA$1,0)</f>
        <v>0</v>
      </c>
      <c r="BO148" s="40">
        <f>IF(OR(X147=4,X147=8,X147=12,X147=16,X147=20),$CA$1,0)</f>
        <v>0</v>
      </c>
      <c r="BP148" s="40">
        <f>IF(OR(Y147=4,Y147=8,Y147=12,Y147=16,Y147=20),$CA$1,0)</f>
        <v>0</v>
      </c>
      <c r="BQ148" s="40">
        <f>IF(OR(Z147=4,Z147=8,Z147=12,Z147=16,Z147=20),$CA$1,0)</f>
        <v>0</v>
      </c>
      <c r="BR148" s="40">
        <f>IF(OR(AA147=4,AA147=8,AA147=12,AA147=16,AA147=20),$CA$1,0)</f>
        <v>0</v>
      </c>
      <c r="BS148" s="40">
        <f>IF(V144=20,$CB$1,0)</f>
        <v>651525.49583333335</v>
      </c>
      <c r="BT148" s="40">
        <f>IF(W144=20,$CB$1,0)</f>
        <v>0</v>
      </c>
      <c r="BU148" s="40">
        <f>IF(X144=20,$CB$1,0)</f>
        <v>0</v>
      </c>
      <c r="BV148" s="40">
        <f>IF(Y144=20,$CB$1,0)</f>
        <v>0</v>
      </c>
      <c r="BW148" s="40">
        <f>IF(Z144=20,$CB$1,0)</f>
        <v>0</v>
      </c>
      <c r="BX148" s="40">
        <f>IF(AA144=20,$CB$1,0)</f>
        <v>0</v>
      </c>
      <c r="BY148" s="41">
        <f t="shared" si="64"/>
        <v>651525.49583333335</v>
      </c>
      <c r="BZ148" s="41">
        <f t="shared" si="74"/>
        <v>651525.49583333335</v>
      </c>
      <c r="CA148" s="58">
        <f t="shared" si="65"/>
        <v>44109</v>
      </c>
      <c r="CB148" s="47">
        <f t="shared" si="75"/>
        <v>0</v>
      </c>
    </row>
    <row r="149" spans="1:83" ht="15" hidden="1" outlineLevel="1" x14ac:dyDescent="0.2">
      <c r="B149" s="18">
        <f t="shared" si="69"/>
        <v>44116</v>
      </c>
      <c r="C149" s="17" t="s">
        <v>1</v>
      </c>
      <c r="D149" s="19">
        <f t="shared" si="70"/>
        <v>44122</v>
      </c>
      <c r="E149" s="20">
        <f t="shared" si="71"/>
        <v>10</v>
      </c>
      <c r="F149" s="21">
        <f t="shared" si="72"/>
        <v>2020</v>
      </c>
      <c r="G149" s="11">
        <f t="shared" si="73"/>
        <v>22</v>
      </c>
      <c r="H149" s="10">
        <f t="shared" si="73"/>
        <v>66</v>
      </c>
      <c r="I149" s="11"/>
      <c r="J149" s="11"/>
      <c r="K149" s="11"/>
      <c r="L149" s="11"/>
      <c r="M149" s="11"/>
      <c r="N149" s="11"/>
      <c r="O149" s="14"/>
      <c r="P149" s="14"/>
      <c r="Q149" s="14"/>
      <c r="R149" s="14"/>
      <c r="S149" s="14"/>
      <c r="T149" s="14"/>
      <c r="V149" s="22">
        <f t="shared" si="76"/>
        <v>1</v>
      </c>
      <c r="W149" s="22">
        <f t="shared" si="76"/>
        <v>0</v>
      </c>
      <c r="X149" s="22">
        <f t="shared" si="76"/>
        <v>0</v>
      </c>
      <c r="Y149" s="22">
        <f t="shared" si="76"/>
        <v>0</v>
      </c>
      <c r="Z149" s="22">
        <f t="shared" si="76"/>
        <v>0</v>
      </c>
      <c r="AA149" s="22">
        <f t="shared" si="76"/>
        <v>0</v>
      </c>
      <c r="AB149" s="1"/>
      <c r="AC149" s="5">
        <f t="shared" si="43"/>
        <v>25</v>
      </c>
      <c r="AD149" s="5">
        <f t="shared" si="44"/>
        <v>0</v>
      </c>
      <c r="AE149" s="5">
        <f t="shared" si="45"/>
        <v>55</v>
      </c>
      <c r="AF149" s="5">
        <f t="shared" si="46"/>
        <v>0</v>
      </c>
      <c r="AG149" s="5">
        <f t="shared" si="47"/>
        <v>0</v>
      </c>
      <c r="AH149" s="5">
        <f t="shared" si="48"/>
        <v>0</v>
      </c>
      <c r="AI149" s="5">
        <f t="shared" si="49"/>
        <v>0</v>
      </c>
      <c r="AJ149" s="5">
        <f t="shared" si="50"/>
        <v>0</v>
      </c>
      <c r="AK149" s="5">
        <f t="shared" si="51"/>
        <v>0</v>
      </c>
      <c r="AL149" s="5">
        <f t="shared" si="52"/>
        <v>0</v>
      </c>
      <c r="AM149" s="5">
        <f t="shared" si="53"/>
        <v>0</v>
      </c>
      <c r="AN149" s="5">
        <f t="shared" si="54"/>
        <v>0</v>
      </c>
      <c r="AO149" s="5">
        <f t="shared" si="55"/>
        <v>0</v>
      </c>
      <c r="AP149" s="5">
        <f t="shared" si="56"/>
        <v>0</v>
      </c>
      <c r="AQ149" s="5">
        <f t="shared" si="57"/>
        <v>0</v>
      </c>
      <c r="AR149" s="5">
        <f t="shared" si="58"/>
        <v>0</v>
      </c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M149" s="40">
        <f>IF(OR(V148=4,V148=8,V148=12,V148=16,V148=20),$CA$1,0)</f>
        <v>0</v>
      </c>
      <c r="BN149" s="40">
        <f>IF(OR(W148=4,W148=8,W148=12,W148=16,W148=20),$CA$1,0)</f>
        <v>0</v>
      </c>
      <c r="BO149" s="40">
        <f>IF(OR(X148=4,X148=8,X148=12,X148=16,X148=20),$CA$1,0)</f>
        <v>0</v>
      </c>
      <c r="BP149" s="40">
        <f>IF(OR(Y148=4,Y148=8,Y148=12,Y148=16,Y148=20),$CA$1,0)</f>
        <v>0</v>
      </c>
      <c r="BQ149" s="40">
        <f>IF(OR(Z148=4,Z148=8,Z148=12,Z148=16,Z148=20),$CA$1,0)</f>
        <v>0</v>
      </c>
      <c r="BR149" s="40">
        <f>IF(OR(AA148=4,AA148=8,AA148=12,AA148=16,AA148=20),$CA$1,0)</f>
        <v>0</v>
      </c>
      <c r="BS149" s="40">
        <f>IF(V145=20,$CB$1,0)</f>
        <v>0</v>
      </c>
      <c r="BT149" s="40">
        <f>IF(W145=20,$CB$1,0)</f>
        <v>0</v>
      </c>
      <c r="BU149" s="40">
        <f>IF(X145=20,$CB$1,0)</f>
        <v>0</v>
      </c>
      <c r="BV149" s="40">
        <f>IF(Y145=20,$CB$1,0)</f>
        <v>0</v>
      </c>
      <c r="BW149" s="40">
        <f>IF(Z145=20,$CB$1,0)</f>
        <v>0</v>
      </c>
      <c r="BX149" s="40">
        <f>IF(AA145=20,$CB$1,0)</f>
        <v>0</v>
      </c>
      <c r="BY149" s="41">
        <f t="shared" si="64"/>
        <v>0</v>
      </c>
      <c r="BZ149" s="41">
        <f t="shared" si="74"/>
        <v>651525.49583333335</v>
      </c>
      <c r="CA149" s="58">
        <f t="shared" si="65"/>
        <v>44116</v>
      </c>
      <c r="CB149" s="47">
        <f t="shared" si="75"/>
        <v>0</v>
      </c>
    </row>
    <row r="150" spans="1:83" ht="15" hidden="1" outlineLevel="1" x14ac:dyDescent="0.2">
      <c r="A150" s="26"/>
      <c r="B150" s="27">
        <f t="shared" si="69"/>
        <v>44123</v>
      </c>
      <c r="C150" s="28" t="s">
        <v>1</v>
      </c>
      <c r="D150" s="29">
        <f t="shared" si="70"/>
        <v>44129</v>
      </c>
      <c r="E150" s="30">
        <f t="shared" si="71"/>
        <v>10</v>
      </c>
      <c r="F150" s="31">
        <f t="shared" si="72"/>
        <v>2020</v>
      </c>
      <c r="G150" s="32">
        <f t="shared" ref="G150:H165" si="77">G149</f>
        <v>22</v>
      </c>
      <c r="H150" s="33">
        <f t="shared" si="77"/>
        <v>66</v>
      </c>
      <c r="I150" s="32"/>
      <c r="J150" s="32"/>
      <c r="K150" s="32"/>
      <c r="L150" s="32"/>
      <c r="M150" s="32"/>
      <c r="N150" s="32"/>
      <c r="O150" s="34"/>
      <c r="P150" s="34"/>
      <c r="Q150" s="34"/>
      <c r="R150" s="34"/>
      <c r="S150" s="34"/>
      <c r="T150" s="34"/>
      <c r="U150" s="35"/>
      <c r="V150" s="36">
        <f t="shared" si="76"/>
        <v>2</v>
      </c>
      <c r="W150" s="36">
        <f t="shared" si="76"/>
        <v>0</v>
      </c>
      <c r="X150" s="36">
        <f t="shared" si="76"/>
        <v>0</v>
      </c>
      <c r="Y150" s="36">
        <f t="shared" si="76"/>
        <v>0</v>
      </c>
      <c r="Z150" s="36">
        <f t="shared" si="76"/>
        <v>0</v>
      </c>
      <c r="AA150" s="36">
        <f t="shared" si="76"/>
        <v>0</v>
      </c>
      <c r="AB150" s="26"/>
      <c r="AC150" s="37">
        <f t="shared" si="43"/>
        <v>26</v>
      </c>
      <c r="AD150" s="37">
        <f t="shared" si="44"/>
        <v>0</v>
      </c>
      <c r="AE150" s="37">
        <f t="shared" si="45"/>
        <v>56</v>
      </c>
      <c r="AF150" s="37">
        <f t="shared" si="46"/>
        <v>0</v>
      </c>
      <c r="AG150" s="37">
        <f t="shared" si="47"/>
        <v>0</v>
      </c>
      <c r="AH150" s="37">
        <f t="shared" si="48"/>
        <v>0</v>
      </c>
      <c r="AI150" s="37">
        <f t="shared" si="49"/>
        <v>0</v>
      </c>
      <c r="AJ150" s="37">
        <f t="shared" si="50"/>
        <v>0</v>
      </c>
      <c r="AK150" s="37">
        <f t="shared" si="51"/>
        <v>0</v>
      </c>
      <c r="AL150" s="37">
        <f t="shared" si="52"/>
        <v>0</v>
      </c>
      <c r="AM150" s="37">
        <f t="shared" si="53"/>
        <v>0</v>
      </c>
      <c r="AN150" s="37">
        <f t="shared" si="54"/>
        <v>0</v>
      </c>
      <c r="AO150" s="37">
        <f t="shared" si="55"/>
        <v>0</v>
      </c>
      <c r="AP150" s="37">
        <f t="shared" si="56"/>
        <v>0</v>
      </c>
      <c r="AQ150" s="37">
        <f t="shared" si="57"/>
        <v>0</v>
      </c>
      <c r="AR150" s="37">
        <f t="shared" si="58"/>
        <v>0</v>
      </c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26"/>
      <c r="BM150" s="40">
        <f>IF(OR(V149=4,V149=8,V149=12,V149=16,V149=20),$CA$1,0)</f>
        <v>0</v>
      </c>
      <c r="BN150" s="40">
        <f>IF(OR(W149=4,W149=8,W149=12,W149=16,W149=20),$CA$1,0)</f>
        <v>0</v>
      </c>
      <c r="BO150" s="40">
        <f>IF(OR(X149=4,X149=8,X149=12,X149=16,X149=20),$CA$1,0)</f>
        <v>0</v>
      </c>
      <c r="BP150" s="40">
        <f>IF(OR(Y149=4,Y149=8,Y149=12,Y149=16,Y149=20),$CA$1,0)</f>
        <v>0</v>
      </c>
      <c r="BQ150" s="40">
        <f>IF(OR(Z149=4,Z149=8,Z149=12,Z149=16,Z149=20),$CA$1,0)</f>
        <v>0</v>
      </c>
      <c r="BR150" s="40">
        <f>IF(OR(AA149=4,AA149=8,AA149=12,AA149=16,AA149=20),$CA$1,0)</f>
        <v>0</v>
      </c>
      <c r="BS150" s="40">
        <f>IF(V146=20,$CB$1,0)</f>
        <v>0</v>
      </c>
      <c r="BT150" s="40">
        <f>IF(W146=20,$CB$1,0)</f>
        <v>0</v>
      </c>
      <c r="BU150" s="40">
        <f>IF(X146=20,$CB$1,0)</f>
        <v>0</v>
      </c>
      <c r="BV150" s="40">
        <f>IF(Y146=20,$CB$1,0)</f>
        <v>0</v>
      </c>
      <c r="BW150" s="40">
        <f>IF(Z146=20,$CB$1,0)</f>
        <v>0</v>
      </c>
      <c r="BX150" s="40">
        <f>IF(AA146=20,$CB$1,0)</f>
        <v>0</v>
      </c>
      <c r="BY150" s="41">
        <f t="shared" si="64"/>
        <v>0</v>
      </c>
      <c r="BZ150" s="41">
        <f t="shared" si="74"/>
        <v>651525.49583333335</v>
      </c>
      <c r="CA150" s="58">
        <f t="shared" si="65"/>
        <v>44123</v>
      </c>
      <c r="CB150" s="47">
        <f t="shared" si="75"/>
        <v>0</v>
      </c>
    </row>
    <row r="151" spans="1:83" ht="15" hidden="1" outlineLevel="1" x14ac:dyDescent="0.2">
      <c r="B151" s="18">
        <f t="shared" si="69"/>
        <v>44130</v>
      </c>
      <c r="C151" s="17" t="s">
        <v>1</v>
      </c>
      <c r="D151" s="19">
        <f t="shared" si="70"/>
        <v>44136</v>
      </c>
      <c r="E151" s="20">
        <f t="shared" si="71"/>
        <v>10</v>
      </c>
      <c r="F151" s="21">
        <f t="shared" si="72"/>
        <v>2020</v>
      </c>
      <c r="G151" s="11">
        <f t="shared" si="77"/>
        <v>22</v>
      </c>
      <c r="H151" s="10">
        <f t="shared" si="77"/>
        <v>66</v>
      </c>
      <c r="I151" s="11"/>
      <c r="J151" s="11">
        <v>22</v>
      </c>
      <c r="K151" s="11"/>
      <c r="L151" s="11"/>
      <c r="M151" s="11"/>
      <c r="N151" s="11"/>
      <c r="O151" s="14"/>
      <c r="P151" s="14"/>
      <c r="Q151" s="14"/>
      <c r="R151" s="14"/>
      <c r="S151" s="14"/>
      <c r="T151" s="14"/>
      <c r="V151" s="22">
        <f t="shared" si="76"/>
        <v>3</v>
      </c>
      <c r="W151" s="22">
        <f t="shared" si="76"/>
        <v>22</v>
      </c>
      <c r="X151" s="22">
        <f t="shared" si="76"/>
        <v>0</v>
      </c>
      <c r="Y151" s="22">
        <f t="shared" si="76"/>
        <v>0</v>
      </c>
      <c r="Z151" s="22">
        <f t="shared" si="76"/>
        <v>0</v>
      </c>
      <c r="AA151" s="22">
        <f t="shared" si="76"/>
        <v>0</v>
      </c>
      <c r="AB151" s="1"/>
      <c r="AC151" s="5">
        <f t="shared" si="43"/>
        <v>27</v>
      </c>
      <c r="AD151" s="5">
        <f t="shared" si="44"/>
        <v>22</v>
      </c>
      <c r="AE151" s="5">
        <f t="shared" si="45"/>
        <v>57</v>
      </c>
      <c r="AF151" s="5">
        <f t="shared" si="46"/>
        <v>0</v>
      </c>
      <c r="AG151" s="5">
        <f t="shared" si="47"/>
        <v>0</v>
      </c>
      <c r="AH151" s="5">
        <f t="shared" si="48"/>
        <v>0</v>
      </c>
      <c r="AI151" s="5">
        <f t="shared" si="49"/>
        <v>0</v>
      </c>
      <c r="AJ151" s="5">
        <f t="shared" si="50"/>
        <v>0</v>
      </c>
      <c r="AK151" s="5">
        <f t="shared" si="51"/>
        <v>0</v>
      </c>
      <c r="AL151" s="5">
        <f t="shared" si="52"/>
        <v>0</v>
      </c>
      <c r="AM151" s="5">
        <f t="shared" si="53"/>
        <v>0</v>
      </c>
      <c r="AN151" s="5">
        <f t="shared" si="54"/>
        <v>0</v>
      </c>
      <c r="AO151" s="5">
        <f t="shared" si="55"/>
        <v>0</v>
      </c>
      <c r="AP151" s="5">
        <f t="shared" si="56"/>
        <v>0</v>
      </c>
      <c r="AQ151" s="5">
        <f t="shared" si="57"/>
        <v>0</v>
      </c>
      <c r="AR151" s="5">
        <f t="shared" si="58"/>
        <v>0</v>
      </c>
      <c r="AS151" s="10"/>
      <c r="AT151" s="10">
        <v>2</v>
      </c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M151" s="40">
        <f>IF(OR(V150=4,V150=8,V150=12,V150=16,V150=20),$CA$1,0)</f>
        <v>0</v>
      </c>
      <c r="BN151" s="40">
        <f>IF(OR(W150=4,W150=8,W150=12,W150=16,W150=20),$CA$1,0)</f>
        <v>0</v>
      </c>
      <c r="BO151" s="40">
        <f>IF(OR(X150=4,X150=8,X150=12,X150=16,X150=20),$CA$1,0)</f>
        <v>0</v>
      </c>
      <c r="BP151" s="40">
        <f>IF(OR(Y150=4,Y150=8,Y150=12,Y150=16,Y150=20),$CA$1,0)</f>
        <v>0</v>
      </c>
      <c r="BQ151" s="40">
        <f>IF(OR(Z150=4,Z150=8,Z150=12,Z150=16,Z150=20),$CA$1,0)</f>
        <v>0</v>
      </c>
      <c r="BR151" s="40">
        <f>IF(OR(AA150=4,AA150=8,AA150=12,AA150=16,AA150=20),$CA$1,0)</f>
        <v>0</v>
      </c>
      <c r="BS151" s="40">
        <f>IF(V147=20,$CB$1,0)</f>
        <v>0</v>
      </c>
      <c r="BT151" s="40">
        <f>IF(W147=20,$CB$1,0)</f>
        <v>0</v>
      </c>
      <c r="BU151" s="40">
        <f>IF(X147=20,$CB$1,0)</f>
        <v>0</v>
      </c>
      <c r="BV151" s="40">
        <f>IF(Y147=20,$CB$1,0)</f>
        <v>0</v>
      </c>
      <c r="BW151" s="40">
        <f>IF(Z147=20,$CB$1,0)</f>
        <v>0</v>
      </c>
      <c r="BX151" s="40">
        <f>IF(AA147=20,$CB$1,0)</f>
        <v>0</v>
      </c>
      <c r="BY151" s="41">
        <f t="shared" si="64"/>
        <v>0</v>
      </c>
      <c r="BZ151" s="41">
        <f t="shared" si="74"/>
        <v>651525.49583333335</v>
      </c>
      <c r="CA151" s="58">
        <f t="shared" si="65"/>
        <v>44130</v>
      </c>
      <c r="CB151" s="47">
        <f t="shared" si="75"/>
        <v>651525.49583333335</v>
      </c>
    </row>
    <row r="152" spans="1:83" ht="15" hidden="1" outlineLevel="1" x14ac:dyDescent="0.2">
      <c r="B152" s="18">
        <f t="shared" si="69"/>
        <v>44137</v>
      </c>
      <c r="C152" s="17" t="s">
        <v>1</v>
      </c>
      <c r="D152" s="19">
        <f t="shared" si="70"/>
        <v>44143</v>
      </c>
      <c r="E152" s="20">
        <f t="shared" si="71"/>
        <v>11</v>
      </c>
      <c r="F152" s="21">
        <f t="shared" si="72"/>
        <v>2020</v>
      </c>
      <c r="G152" s="11">
        <f t="shared" si="77"/>
        <v>22</v>
      </c>
      <c r="H152" s="10">
        <f t="shared" si="77"/>
        <v>66</v>
      </c>
      <c r="I152" s="11"/>
      <c r="J152" s="11"/>
      <c r="K152" s="11"/>
      <c r="L152" s="11"/>
      <c r="M152" s="11"/>
      <c r="N152" s="11"/>
      <c r="O152" s="14"/>
      <c r="P152" s="14"/>
      <c r="Q152" s="14"/>
      <c r="R152" s="14"/>
      <c r="S152" s="14"/>
      <c r="T152" s="14"/>
      <c r="V152" s="22">
        <f t="shared" si="76"/>
        <v>4</v>
      </c>
      <c r="W152" s="22">
        <f t="shared" si="76"/>
        <v>0</v>
      </c>
      <c r="X152" s="22">
        <f t="shared" si="76"/>
        <v>0</v>
      </c>
      <c r="Y152" s="22">
        <f t="shared" si="76"/>
        <v>0</v>
      </c>
      <c r="Z152" s="22">
        <f t="shared" si="76"/>
        <v>0</v>
      </c>
      <c r="AA152" s="22">
        <f t="shared" si="76"/>
        <v>0</v>
      </c>
      <c r="AB152" s="1"/>
      <c r="AC152" s="5">
        <f t="shared" si="43"/>
        <v>28</v>
      </c>
      <c r="AD152" s="5">
        <f t="shared" si="44"/>
        <v>23</v>
      </c>
      <c r="AE152" s="5">
        <f t="shared" si="45"/>
        <v>58</v>
      </c>
      <c r="AF152" s="5">
        <f t="shared" si="46"/>
        <v>0</v>
      </c>
      <c r="AG152" s="5">
        <f t="shared" si="47"/>
        <v>0</v>
      </c>
      <c r="AH152" s="5">
        <f t="shared" si="48"/>
        <v>0</v>
      </c>
      <c r="AI152" s="5">
        <f t="shared" si="49"/>
        <v>0</v>
      </c>
      <c r="AJ152" s="5">
        <f t="shared" si="50"/>
        <v>0</v>
      </c>
      <c r="AK152" s="5">
        <f t="shared" si="51"/>
        <v>0</v>
      </c>
      <c r="AL152" s="5">
        <f t="shared" si="52"/>
        <v>0</v>
      </c>
      <c r="AM152" s="5">
        <f t="shared" si="53"/>
        <v>0</v>
      </c>
      <c r="AN152" s="5">
        <f t="shared" si="54"/>
        <v>0</v>
      </c>
      <c r="AO152" s="5">
        <f t="shared" si="55"/>
        <v>0</v>
      </c>
      <c r="AP152" s="5">
        <f t="shared" si="56"/>
        <v>0</v>
      </c>
      <c r="AQ152" s="5">
        <f t="shared" si="57"/>
        <v>0</v>
      </c>
      <c r="AR152" s="5">
        <f t="shared" si="58"/>
        <v>0</v>
      </c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M152" s="40">
        <f>IF(OR(V151=4,V151=8,V151=12,V151=16,V151=20),$CA$1,0)</f>
        <v>0</v>
      </c>
      <c r="BN152" s="40">
        <f>IF(OR(W151=4,W151=8,W151=12,W151=16,W151=20),$CA$1,0)</f>
        <v>0</v>
      </c>
      <c r="BO152" s="40">
        <f>IF(OR(X151=4,X151=8,X151=12,X151=16,X151=20),$CA$1,0)</f>
        <v>0</v>
      </c>
      <c r="BP152" s="40">
        <f>IF(OR(Y151=4,Y151=8,Y151=12,Y151=16,Y151=20),$CA$1,0)</f>
        <v>0</v>
      </c>
      <c r="BQ152" s="40">
        <f>IF(OR(Z151=4,Z151=8,Z151=12,Z151=16,Z151=20),$CA$1,0)</f>
        <v>0</v>
      </c>
      <c r="BR152" s="40">
        <f>IF(OR(AA151=4,AA151=8,AA151=12,AA151=16,AA151=20),$CA$1,0)</f>
        <v>0</v>
      </c>
      <c r="BS152" s="40">
        <f>IF(V148=20,$CB$1,0)</f>
        <v>0</v>
      </c>
      <c r="BT152" s="40">
        <f>IF(W148=20,$CB$1,0)</f>
        <v>0</v>
      </c>
      <c r="BU152" s="40">
        <f>IF(X148=20,$CB$1,0)</f>
        <v>0</v>
      </c>
      <c r="BV152" s="40">
        <f>IF(Y148=20,$CB$1,0)</f>
        <v>0</v>
      </c>
      <c r="BW152" s="40">
        <f>IF(Z148=20,$CB$1,0)</f>
        <v>0</v>
      </c>
      <c r="BX152" s="40">
        <f>IF(AA148=20,$CB$1,0)</f>
        <v>0</v>
      </c>
      <c r="BY152" s="41">
        <f t="shared" si="64"/>
        <v>0</v>
      </c>
      <c r="BZ152" s="41">
        <f t="shared" si="74"/>
        <v>0</v>
      </c>
      <c r="CA152" s="58">
        <f t="shared" si="65"/>
        <v>44137</v>
      </c>
      <c r="CB152" s="47">
        <f t="shared" si="75"/>
        <v>0</v>
      </c>
    </row>
    <row r="153" spans="1:83" ht="15" hidden="1" outlineLevel="1" x14ac:dyDescent="0.2">
      <c r="B153" s="18">
        <f t="shared" si="69"/>
        <v>44144</v>
      </c>
      <c r="C153" s="17" t="s">
        <v>1</v>
      </c>
      <c r="D153" s="19">
        <f t="shared" si="70"/>
        <v>44150</v>
      </c>
      <c r="E153" s="20">
        <f t="shared" si="71"/>
        <v>11</v>
      </c>
      <c r="F153" s="21">
        <f t="shared" si="72"/>
        <v>2020</v>
      </c>
      <c r="G153" s="11">
        <f t="shared" si="77"/>
        <v>22</v>
      </c>
      <c r="H153" s="10">
        <f t="shared" si="77"/>
        <v>66</v>
      </c>
      <c r="I153" s="11"/>
      <c r="J153" s="11"/>
      <c r="K153" s="11"/>
      <c r="L153" s="11"/>
      <c r="M153" s="11"/>
      <c r="N153" s="11"/>
      <c r="O153" s="14"/>
      <c r="P153" s="14"/>
      <c r="Q153" s="14"/>
      <c r="R153" s="14"/>
      <c r="S153" s="14"/>
      <c r="T153" s="14"/>
      <c r="V153" s="22">
        <f t="shared" si="76"/>
        <v>5</v>
      </c>
      <c r="W153" s="22">
        <f t="shared" si="76"/>
        <v>0</v>
      </c>
      <c r="X153" s="22">
        <f t="shared" si="76"/>
        <v>0</v>
      </c>
      <c r="Y153" s="22">
        <f t="shared" si="76"/>
        <v>0</v>
      </c>
      <c r="Z153" s="22">
        <f t="shared" si="76"/>
        <v>0</v>
      </c>
      <c r="AA153" s="22">
        <f t="shared" si="76"/>
        <v>0</v>
      </c>
      <c r="AB153" s="1"/>
      <c r="AC153" s="5">
        <f t="shared" si="43"/>
        <v>29</v>
      </c>
      <c r="AD153" s="5">
        <f t="shared" si="44"/>
        <v>24</v>
      </c>
      <c r="AE153" s="5">
        <f t="shared" si="45"/>
        <v>59</v>
      </c>
      <c r="AF153" s="5">
        <f t="shared" si="46"/>
        <v>0</v>
      </c>
      <c r="AG153" s="5">
        <f t="shared" si="47"/>
        <v>0</v>
      </c>
      <c r="AH153" s="5">
        <f t="shared" si="48"/>
        <v>0</v>
      </c>
      <c r="AI153" s="5">
        <f t="shared" si="49"/>
        <v>0</v>
      </c>
      <c r="AJ153" s="5">
        <f t="shared" si="50"/>
        <v>0</v>
      </c>
      <c r="AK153" s="5">
        <f t="shared" si="51"/>
        <v>0</v>
      </c>
      <c r="AL153" s="5">
        <f t="shared" si="52"/>
        <v>0</v>
      </c>
      <c r="AM153" s="5">
        <f t="shared" si="53"/>
        <v>0</v>
      </c>
      <c r="AN153" s="5">
        <f t="shared" si="54"/>
        <v>0</v>
      </c>
      <c r="AO153" s="5">
        <f t="shared" si="55"/>
        <v>0</v>
      </c>
      <c r="AP153" s="5">
        <f t="shared" si="56"/>
        <v>0</v>
      </c>
      <c r="AQ153" s="5">
        <f t="shared" si="57"/>
        <v>0</v>
      </c>
      <c r="AR153" s="5">
        <f t="shared" si="58"/>
        <v>0</v>
      </c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M153" s="40">
        <f>IF(OR(V152=4,V152=8,V152=12,V152=16,V152=20),$CA$1,0)</f>
        <v>161491.14583333334</v>
      </c>
      <c r="BN153" s="40">
        <f>IF(OR(W152=4,W152=8,W152=12,W152=16,W152=20),$CA$1,0)</f>
        <v>0</v>
      </c>
      <c r="BO153" s="40">
        <f>IF(OR(X152=4,X152=8,X152=12,X152=16,X152=20),$CA$1,0)</f>
        <v>0</v>
      </c>
      <c r="BP153" s="40">
        <f>IF(OR(Y152=4,Y152=8,Y152=12,Y152=16,Y152=20),$CA$1,0)</f>
        <v>0</v>
      </c>
      <c r="BQ153" s="40">
        <f>IF(OR(Z152=4,Z152=8,Z152=12,Z152=16,Z152=20),$CA$1,0)</f>
        <v>0</v>
      </c>
      <c r="BR153" s="40">
        <f>IF(OR(AA152=4,AA152=8,AA152=12,AA152=16,AA152=20),$CA$1,0)</f>
        <v>0</v>
      </c>
      <c r="BS153" s="40">
        <f>IF(V149=20,$CB$1,0)</f>
        <v>0</v>
      </c>
      <c r="BT153" s="40">
        <f>IF(W149=20,$CB$1,0)</f>
        <v>0</v>
      </c>
      <c r="BU153" s="40">
        <f>IF(X149=20,$CB$1,0)</f>
        <v>0</v>
      </c>
      <c r="BV153" s="40">
        <f>IF(Y149=20,$CB$1,0)</f>
        <v>0</v>
      </c>
      <c r="BW153" s="40">
        <f>IF(Z149=20,$CB$1,0)</f>
        <v>0</v>
      </c>
      <c r="BX153" s="40">
        <f>IF(AA149=20,$CB$1,0)</f>
        <v>0</v>
      </c>
      <c r="BY153" s="41">
        <f t="shared" si="64"/>
        <v>161491.14583333334</v>
      </c>
      <c r="BZ153" s="41">
        <f t="shared" si="74"/>
        <v>161491.14583333334</v>
      </c>
      <c r="CA153" s="58">
        <f t="shared" si="65"/>
        <v>44144</v>
      </c>
      <c r="CB153" s="47">
        <f t="shared" si="75"/>
        <v>0</v>
      </c>
    </row>
    <row r="154" spans="1:83" ht="15" hidden="1" outlineLevel="1" x14ac:dyDescent="0.2">
      <c r="B154" s="18">
        <f t="shared" si="69"/>
        <v>44151</v>
      </c>
      <c r="C154" s="17" t="s">
        <v>1</v>
      </c>
      <c r="D154" s="19">
        <f t="shared" si="70"/>
        <v>44157</v>
      </c>
      <c r="E154" s="20">
        <f t="shared" si="71"/>
        <v>11</v>
      </c>
      <c r="F154" s="21">
        <f t="shared" si="72"/>
        <v>2020</v>
      </c>
      <c r="G154" s="11">
        <f t="shared" si="77"/>
        <v>22</v>
      </c>
      <c r="H154" s="10">
        <f t="shared" si="77"/>
        <v>66</v>
      </c>
      <c r="I154" s="11"/>
      <c r="J154" s="11"/>
      <c r="K154" s="11"/>
      <c r="L154" s="11"/>
      <c r="M154" s="11"/>
      <c r="N154" s="11"/>
      <c r="O154" s="14"/>
      <c r="P154" s="14"/>
      <c r="Q154" s="14"/>
      <c r="R154" s="14"/>
      <c r="S154" s="14"/>
      <c r="T154" s="14"/>
      <c r="V154" s="22">
        <f t="shared" si="76"/>
        <v>6</v>
      </c>
      <c r="W154" s="22">
        <f t="shared" si="76"/>
        <v>0</v>
      </c>
      <c r="X154" s="22">
        <f t="shared" si="76"/>
        <v>0</v>
      </c>
      <c r="Y154" s="22">
        <f t="shared" si="76"/>
        <v>0</v>
      </c>
      <c r="Z154" s="22">
        <f t="shared" si="76"/>
        <v>0</v>
      </c>
      <c r="AA154" s="22">
        <f t="shared" si="76"/>
        <v>0</v>
      </c>
      <c r="AB154" s="1"/>
      <c r="AC154" s="5">
        <f t="shared" si="43"/>
        <v>30</v>
      </c>
      <c r="AD154" s="5">
        <f t="shared" si="44"/>
        <v>25</v>
      </c>
      <c r="AE154" s="5">
        <f t="shared" si="45"/>
        <v>60</v>
      </c>
      <c r="AF154" s="5">
        <f t="shared" si="46"/>
        <v>0</v>
      </c>
      <c r="AG154" s="5">
        <f t="shared" si="47"/>
        <v>0</v>
      </c>
      <c r="AH154" s="5">
        <f t="shared" si="48"/>
        <v>0</v>
      </c>
      <c r="AI154" s="5">
        <f t="shared" si="49"/>
        <v>0</v>
      </c>
      <c r="AJ154" s="5">
        <f t="shared" si="50"/>
        <v>0</v>
      </c>
      <c r="AK154" s="5">
        <f t="shared" si="51"/>
        <v>0</v>
      </c>
      <c r="AL154" s="5">
        <f t="shared" si="52"/>
        <v>0</v>
      </c>
      <c r="AM154" s="5">
        <f t="shared" si="53"/>
        <v>0</v>
      </c>
      <c r="AN154" s="5">
        <f t="shared" si="54"/>
        <v>0</v>
      </c>
      <c r="AO154" s="5">
        <f t="shared" si="55"/>
        <v>0</v>
      </c>
      <c r="AP154" s="5">
        <f t="shared" si="56"/>
        <v>0</v>
      </c>
      <c r="AQ154" s="5">
        <f t="shared" si="57"/>
        <v>0</v>
      </c>
      <c r="AR154" s="5">
        <f t="shared" si="58"/>
        <v>0</v>
      </c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M154" s="40">
        <f>IF(OR(V153=4,V153=8,V153=12,V153=16,V153=20),$CA$1,0)</f>
        <v>0</v>
      </c>
      <c r="BN154" s="40">
        <f>IF(OR(W153=4,W153=8,W153=12,W153=16,W153=20),$CA$1,0)</f>
        <v>0</v>
      </c>
      <c r="BO154" s="40">
        <f>IF(OR(X153=4,X153=8,X153=12,X153=16,X153=20),$CA$1,0)</f>
        <v>0</v>
      </c>
      <c r="BP154" s="40">
        <f>IF(OR(Y153=4,Y153=8,Y153=12,Y153=16,Y153=20),$CA$1,0)</f>
        <v>0</v>
      </c>
      <c r="BQ154" s="40">
        <f>IF(OR(Z153=4,Z153=8,Z153=12,Z153=16,Z153=20),$CA$1,0)</f>
        <v>0</v>
      </c>
      <c r="BR154" s="40">
        <f>IF(OR(AA153=4,AA153=8,AA153=12,AA153=16,AA153=20),$CA$1,0)</f>
        <v>0</v>
      </c>
      <c r="BS154" s="40">
        <f>IF(V150=20,$CB$1,0)</f>
        <v>0</v>
      </c>
      <c r="BT154" s="40">
        <f>IF(W150=20,$CB$1,0)</f>
        <v>0</v>
      </c>
      <c r="BU154" s="40">
        <f>IF(X150=20,$CB$1,0)</f>
        <v>0</v>
      </c>
      <c r="BV154" s="40">
        <f>IF(Y150=20,$CB$1,0)</f>
        <v>0</v>
      </c>
      <c r="BW154" s="40">
        <f>IF(Z150=20,$CB$1,0)</f>
        <v>0</v>
      </c>
      <c r="BX154" s="40">
        <f>IF(AA150=20,$CB$1,0)</f>
        <v>0</v>
      </c>
      <c r="BY154" s="41">
        <f t="shared" si="64"/>
        <v>0</v>
      </c>
      <c r="BZ154" s="41">
        <f t="shared" si="74"/>
        <v>161491.14583333334</v>
      </c>
      <c r="CA154" s="58">
        <f t="shared" si="65"/>
        <v>44151</v>
      </c>
      <c r="CB154" s="47">
        <f t="shared" si="75"/>
        <v>0</v>
      </c>
    </row>
    <row r="155" spans="1:83" ht="15" hidden="1" outlineLevel="1" x14ac:dyDescent="0.2">
      <c r="B155" s="18">
        <f t="shared" si="69"/>
        <v>44158</v>
      </c>
      <c r="C155" s="17" t="s">
        <v>1</v>
      </c>
      <c r="D155" s="19">
        <f t="shared" si="70"/>
        <v>44164</v>
      </c>
      <c r="E155" s="20">
        <f t="shared" si="71"/>
        <v>11</v>
      </c>
      <c r="F155" s="21">
        <f t="shared" si="72"/>
        <v>2020</v>
      </c>
      <c r="G155" s="11">
        <f t="shared" si="77"/>
        <v>22</v>
      </c>
      <c r="H155" s="10">
        <f t="shared" si="77"/>
        <v>66</v>
      </c>
      <c r="I155" s="11"/>
      <c r="J155" s="11"/>
      <c r="K155" s="11"/>
      <c r="L155" s="11"/>
      <c r="M155" s="11"/>
      <c r="N155" s="11"/>
      <c r="O155" s="14"/>
      <c r="P155" s="14"/>
      <c r="Q155" s="14"/>
      <c r="R155" s="14"/>
      <c r="S155" s="14"/>
      <c r="T155" s="14"/>
      <c r="V155" s="22">
        <f t="shared" si="76"/>
        <v>7</v>
      </c>
      <c r="W155" s="22">
        <f t="shared" si="76"/>
        <v>0</v>
      </c>
      <c r="X155" s="22">
        <f t="shared" si="76"/>
        <v>0</v>
      </c>
      <c r="Y155" s="22">
        <f t="shared" si="76"/>
        <v>0</v>
      </c>
      <c r="Z155" s="22">
        <f t="shared" si="76"/>
        <v>0</v>
      </c>
      <c r="AA155" s="22">
        <f t="shared" si="76"/>
        <v>0</v>
      </c>
      <c r="AB155" s="1"/>
      <c r="AC155" s="5">
        <f t="shared" si="43"/>
        <v>31</v>
      </c>
      <c r="AD155" s="5">
        <f t="shared" si="44"/>
        <v>26</v>
      </c>
      <c r="AE155" s="5">
        <f t="shared" si="45"/>
        <v>61</v>
      </c>
      <c r="AF155" s="5">
        <f t="shared" si="46"/>
        <v>0</v>
      </c>
      <c r="AG155" s="5">
        <f t="shared" si="47"/>
        <v>0</v>
      </c>
      <c r="AH155" s="5">
        <f t="shared" si="48"/>
        <v>0</v>
      </c>
      <c r="AI155" s="5">
        <f t="shared" si="49"/>
        <v>0</v>
      </c>
      <c r="AJ155" s="5">
        <f t="shared" si="50"/>
        <v>0</v>
      </c>
      <c r="AK155" s="5">
        <f t="shared" si="51"/>
        <v>0</v>
      </c>
      <c r="AL155" s="5">
        <f t="shared" si="52"/>
        <v>0</v>
      </c>
      <c r="AM155" s="5">
        <f t="shared" si="53"/>
        <v>0</v>
      </c>
      <c r="AN155" s="5">
        <f t="shared" si="54"/>
        <v>0</v>
      </c>
      <c r="AO155" s="5">
        <f t="shared" si="55"/>
        <v>0</v>
      </c>
      <c r="AP155" s="5">
        <f t="shared" si="56"/>
        <v>0</v>
      </c>
      <c r="AQ155" s="5">
        <f t="shared" si="57"/>
        <v>0</v>
      </c>
      <c r="AR155" s="5">
        <f t="shared" si="58"/>
        <v>0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M155" s="40">
        <f>IF(OR(V154=4,V154=8,V154=12,V154=16,V154=20),$CA$1,0)</f>
        <v>0</v>
      </c>
      <c r="BN155" s="40">
        <f>IF(OR(W154=4,W154=8,W154=12,W154=16,W154=20),$CA$1,0)</f>
        <v>0</v>
      </c>
      <c r="BO155" s="40">
        <f>IF(OR(X154=4,X154=8,X154=12,X154=16,X154=20),$CA$1,0)</f>
        <v>0</v>
      </c>
      <c r="BP155" s="40">
        <f>IF(OR(Y154=4,Y154=8,Y154=12,Y154=16,Y154=20),$CA$1,0)</f>
        <v>0</v>
      </c>
      <c r="BQ155" s="40">
        <f>IF(OR(Z154=4,Z154=8,Z154=12,Z154=16,Z154=20),$CA$1,0)</f>
        <v>0</v>
      </c>
      <c r="BR155" s="40">
        <f>IF(OR(AA154=4,AA154=8,AA154=12,AA154=16,AA154=20),$CA$1,0)</f>
        <v>0</v>
      </c>
      <c r="BS155" s="40">
        <f>IF(V151=20,$CB$1,0)</f>
        <v>0</v>
      </c>
      <c r="BT155" s="40">
        <f>IF(W151=20,$CB$1,0)</f>
        <v>0</v>
      </c>
      <c r="BU155" s="40">
        <f>IF(X151=20,$CB$1,0)</f>
        <v>0</v>
      </c>
      <c r="BV155" s="40">
        <f>IF(Y151=20,$CB$1,0)</f>
        <v>0</v>
      </c>
      <c r="BW155" s="40">
        <f>IF(Z151=20,$CB$1,0)</f>
        <v>0</v>
      </c>
      <c r="BX155" s="40">
        <f>IF(AA151=20,$CB$1,0)</f>
        <v>0</v>
      </c>
      <c r="BY155" s="41">
        <f t="shared" si="64"/>
        <v>0</v>
      </c>
      <c r="BZ155" s="41">
        <f t="shared" si="74"/>
        <v>161491.14583333334</v>
      </c>
      <c r="CA155" s="58">
        <f t="shared" si="65"/>
        <v>44158</v>
      </c>
      <c r="CB155" s="47">
        <f t="shared" si="75"/>
        <v>0</v>
      </c>
    </row>
    <row r="156" spans="1:83" ht="15" hidden="1" outlineLevel="1" x14ac:dyDescent="0.2">
      <c r="B156" s="18">
        <f t="shared" si="69"/>
        <v>44165</v>
      </c>
      <c r="C156" s="17" t="s">
        <v>1</v>
      </c>
      <c r="D156" s="19">
        <f t="shared" si="70"/>
        <v>44171</v>
      </c>
      <c r="E156" s="20">
        <f t="shared" si="71"/>
        <v>11</v>
      </c>
      <c r="F156" s="21">
        <f t="shared" si="72"/>
        <v>2020</v>
      </c>
      <c r="G156" s="11">
        <f t="shared" si="77"/>
        <v>22</v>
      </c>
      <c r="H156" s="10">
        <f t="shared" si="77"/>
        <v>66</v>
      </c>
      <c r="I156" s="11"/>
      <c r="J156" s="11"/>
      <c r="K156" s="11"/>
      <c r="L156" s="11"/>
      <c r="M156" s="11"/>
      <c r="N156" s="11"/>
      <c r="O156" s="14"/>
      <c r="P156" s="14"/>
      <c r="Q156" s="14"/>
      <c r="R156" s="14"/>
      <c r="S156" s="14"/>
      <c r="T156" s="14"/>
      <c r="V156" s="22">
        <f t="shared" si="76"/>
        <v>8</v>
      </c>
      <c r="W156" s="22">
        <f t="shared" si="76"/>
        <v>0</v>
      </c>
      <c r="X156" s="22">
        <f t="shared" si="76"/>
        <v>0</v>
      </c>
      <c r="Y156" s="22">
        <f t="shared" si="76"/>
        <v>0</v>
      </c>
      <c r="Z156" s="22">
        <f t="shared" si="76"/>
        <v>0</v>
      </c>
      <c r="AA156" s="22">
        <f t="shared" si="76"/>
        <v>0</v>
      </c>
      <c r="AB156" s="1"/>
      <c r="AC156" s="5">
        <f t="shared" si="43"/>
        <v>32</v>
      </c>
      <c r="AD156" s="5">
        <f t="shared" si="44"/>
        <v>27</v>
      </c>
      <c r="AE156" s="5">
        <f t="shared" si="45"/>
        <v>62</v>
      </c>
      <c r="AF156" s="5">
        <f t="shared" si="46"/>
        <v>0</v>
      </c>
      <c r="AG156" s="5">
        <f t="shared" si="47"/>
        <v>0</v>
      </c>
      <c r="AH156" s="5">
        <f t="shared" si="48"/>
        <v>0</v>
      </c>
      <c r="AI156" s="5">
        <f t="shared" si="49"/>
        <v>0</v>
      </c>
      <c r="AJ156" s="5">
        <f t="shared" si="50"/>
        <v>0</v>
      </c>
      <c r="AK156" s="5">
        <f t="shared" si="51"/>
        <v>0</v>
      </c>
      <c r="AL156" s="5">
        <f t="shared" si="52"/>
        <v>0</v>
      </c>
      <c r="AM156" s="5">
        <f t="shared" si="53"/>
        <v>0</v>
      </c>
      <c r="AN156" s="5">
        <f t="shared" si="54"/>
        <v>0</v>
      </c>
      <c r="AO156" s="5">
        <f t="shared" si="55"/>
        <v>0</v>
      </c>
      <c r="AP156" s="5">
        <f t="shared" si="56"/>
        <v>0</v>
      </c>
      <c r="AQ156" s="5">
        <f t="shared" si="57"/>
        <v>0</v>
      </c>
      <c r="AR156" s="5">
        <f t="shared" si="58"/>
        <v>0</v>
      </c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M156" s="40">
        <f>IF(OR(V155=4,V155=8,V155=12,V155=16,V155=20),$CA$1,0)</f>
        <v>0</v>
      </c>
      <c r="BN156" s="40">
        <f>IF(OR(W155=4,W155=8,W155=12,W155=16,W155=20),$CA$1,0)</f>
        <v>0</v>
      </c>
      <c r="BO156" s="40">
        <f>IF(OR(X155=4,X155=8,X155=12,X155=16,X155=20),$CA$1,0)</f>
        <v>0</v>
      </c>
      <c r="BP156" s="40">
        <f>IF(OR(Y155=4,Y155=8,Y155=12,Y155=16,Y155=20),$CA$1,0)</f>
        <v>0</v>
      </c>
      <c r="BQ156" s="40">
        <f>IF(OR(Z155=4,Z155=8,Z155=12,Z155=16,Z155=20),$CA$1,0)</f>
        <v>0</v>
      </c>
      <c r="BR156" s="40">
        <f>IF(OR(AA155=4,AA155=8,AA155=12,AA155=16,AA155=20),$CA$1,0)</f>
        <v>0</v>
      </c>
      <c r="BS156" s="40">
        <f>IF(V152=20,$CB$1,0)</f>
        <v>0</v>
      </c>
      <c r="BT156" s="40">
        <f>IF(W152=20,$CB$1,0)</f>
        <v>0</v>
      </c>
      <c r="BU156" s="40">
        <f>IF(X152=20,$CB$1,0)</f>
        <v>0</v>
      </c>
      <c r="BV156" s="40">
        <f>IF(Y152=20,$CB$1,0)</f>
        <v>0</v>
      </c>
      <c r="BW156" s="40">
        <f>IF(Z152=20,$CB$1,0)</f>
        <v>0</v>
      </c>
      <c r="BX156" s="40">
        <f>IF(AA152=20,$CB$1,0)</f>
        <v>0</v>
      </c>
      <c r="BY156" s="41">
        <f t="shared" si="64"/>
        <v>0</v>
      </c>
      <c r="BZ156" s="41">
        <f t="shared" si="74"/>
        <v>161491.14583333334</v>
      </c>
      <c r="CA156" s="58">
        <f t="shared" si="65"/>
        <v>44165</v>
      </c>
      <c r="CB156" s="47">
        <f t="shared" si="75"/>
        <v>161491.14583333334</v>
      </c>
    </row>
    <row r="157" spans="1:83" ht="15" hidden="1" outlineLevel="1" x14ac:dyDescent="0.2">
      <c r="B157" s="18">
        <f t="shared" si="69"/>
        <v>44172</v>
      </c>
      <c r="C157" s="17" t="s">
        <v>1</v>
      </c>
      <c r="D157" s="19">
        <f t="shared" si="70"/>
        <v>44178</v>
      </c>
      <c r="E157" s="20">
        <f t="shared" si="71"/>
        <v>12</v>
      </c>
      <c r="F157" s="21">
        <f t="shared" si="72"/>
        <v>2020</v>
      </c>
      <c r="G157" s="11">
        <f t="shared" si="77"/>
        <v>22</v>
      </c>
      <c r="H157" s="10">
        <f t="shared" si="77"/>
        <v>66</v>
      </c>
      <c r="I157" s="11"/>
      <c r="J157" s="11"/>
      <c r="K157" s="11"/>
      <c r="L157" s="11"/>
      <c r="M157" s="11"/>
      <c r="N157" s="11"/>
      <c r="O157" s="14"/>
      <c r="P157" s="14"/>
      <c r="Q157" s="14"/>
      <c r="R157" s="14"/>
      <c r="S157" s="14"/>
      <c r="T157" s="14"/>
      <c r="V157" s="22">
        <f t="shared" si="76"/>
        <v>9</v>
      </c>
      <c r="W157" s="22">
        <f t="shared" si="76"/>
        <v>0</v>
      </c>
      <c r="X157" s="22">
        <f t="shared" si="76"/>
        <v>0</v>
      </c>
      <c r="Y157" s="22">
        <f t="shared" si="76"/>
        <v>0</v>
      </c>
      <c r="Z157" s="22">
        <f t="shared" si="76"/>
        <v>0</v>
      </c>
      <c r="AA157" s="22">
        <f t="shared" si="76"/>
        <v>0</v>
      </c>
      <c r="AB157" s="1"/>
      <c r="AC157" s="5">
        <f t="shared" ref="AC157:AC220" si="78">IF(AND(AS157&gt;=$V$2,AS157&lt;=$AA$2),LOOKUP(AS157,$V$2:$AA$2,$V157:$AA157),IF(AS156="A",0,IF(AC156=$H157,0,IF(AC156=0,0,AC156+1))))</f>
        <v>33</v>
      </c>
      <c r="AD157" s="5">
        <f t="shared" ref="AD157:AD220" si="79">IF(AND(AT157&gt;=$V$2,AT157&lt;=$AA$2),LOOKUP(AT157,$V$2:$AA$2,$V157:$AA157),IF(AT156="A",0,IF(AD156=$H157,0,IF(AD156=0,0,AD156+1))))</f>
        <v>28</v>
      </c>
      <c r="AE157" s="5">
        <f t="shared" ref="AE157:AE220" si="80">IF(AND(AU157&gt;=$V$2,AU157&lt;=$AA$2),LOOKUP(AU157,$V$2:$AA$2,$V157:$AA157),IF(AU156="A",0,IF(AE156=$H157,0,IF(AE156=0,0,AE156+1))))</f>
        <v>63</v>
      </c>
      <c r="AF157" s="5">
        <f t="shared" ref="AF157:AF220" si="81">IF(AND(AV157&gt;=$V$2,AV157&lt;=$AA$2),LOOKUP(AV157,$V$2:$AA$2,$V157:$AA157),IF(AV156="A",0,IF(AF156=$H157,0,IF(AF156=0,0,AF156+1))))</f>
        <v>0</v>
      </c>
      <c r="AG157" s="5">
        <f t="shared" ref="AG157:AG220" si="82">IF(AND(AW157&gt;=$V$2,AW157&lt;=$AA$2),LOOKUP(AW157,$V$2:$AA$2,$V157:$AA157),IF(AW156="A",0,IF(AG156=$H157,0,IF(AG156=0,0,AG156+1))))</f>
        <v>0</v>
      </c>
      <c r="AH157" s="5">
        <f t="shared" ref="AH157:AH220" si="83">IF(AND(AX157&gt;=$V$2,AX157&lt;=$AA$2),LOOKUP(AX157,$V$2:$AA$2,$V157:$AA157),IF(AX156="A",0,IF(AH156=$H157,0,IF(AH156=0,0,AH156+1))))</f>
        <v>0</v>
      </c>
      <c r="AI157" s="5">
        <f t="shared" ref="AI157:AI220" si="84">IF(AND(AY157&gt;=$V$2,AY157&lt;=$AA$2),LOOKUP(AY157,$V$2:$AA$2,$V157:$AA157),IF(AY156="A",0,IF(AI156=$H157,0,IF(AI156=0,0,AI156+1))))</f>
        <v>0</v>
      </c>
      <c r="AJ157" s="5">
        <f t="shared" ref="AJ157:AJ220" si="85">IF(AND(AZ157&gt;=$V$2,AZ157&lt;=$AA$2),LOOKUP(AZ157,$V$2:$AA$2,$V157:$AA157),IF(AZ156="A",0,IF(AJ156=$H157,0,IF(AJ156=0,0,AJ156+1))))</f>
        <v>0</v>
      </c>
      <c r="AK157" s="5">
        <f t="shared" ref="AK157:AK220" si="86">IF(AND(BA157&gt;=$V$2,BA157&lt;=$AA$2),LOOKUP(BA157,$V$2:$AA$2,$V157:$AA157),IF(BA156="A",0,IF(AK156=$H157,0,IF(AK156=0,0,AK156+1))))</f>
        <v>0</v>
      </c>
      <c r="AL157" s="5">
        <f t="shared" ref="AL157:AL220" si="87">IF(AND(BB157&gt;=$V$2,BB157&lt;=$AA$2),LOOKUP(BB157,$V$2:$AA$2,$V157:$AA157),IF(BB156="A",0,IF(AL156=$H157,0,IF(AL156=0,0,AL156+1))))</f>
        <v>0</v>
      </c>
      <c r="AM157" s="5">
        <f t="shared" ref="AM157:AM220" si="88">IF(AND(BC157&gt;=$V$2,BC157&lt;=$AA$2),LOOKUP(BC157,$V$2:$AA$2,$V157:$AA157),IF(BC156="A",0,IF(AM156=$H157,0,IF(AM156=0,0,AM156+1))))</f>
        <v>0</v>
      </c>
      <c r="AN157" s="5">
        <f t="shared" ref="AN157:AN220" si="89">IF(AND(BD157&gt;=$V$2,BD157&lt;=$AA$2),LOOKUP(BD157,$V$2:$AA$2,$V157:$AA157),IF(BD156="A",0,IF(AN156=$H157,0,IF(AN156=0,0,AN156+1))))</f>
        <v>0</v>
      </c>
      <c r="AO157" s="5">
        <f t="shared" ref="AO157:AO220" si="90">IF(AND(BE157&gt;=$V$2,BE157&lt;=$AA$2),LOOKUP(BE157,$V$2:$AA$2,$V157:$AA157),IF(BE156="A",0,IF(AO156=$H157,0,IF(AO156=0,0,AO156+1))))</f>
        <v>0</v>
      </c>
      <c r="AP157" s="5">
        <f t="shared" ref="AP157:AP220" si="91">IF(AND(BF157&gt;=$V$2,BF157&lt;=$AA$2),LOOKUP(BF157,$V$2:$AA$2,$V157:$AA157),IF(BF156="A",0,IF(AP156=$H157,0,IF(AP156=0,0,AP156+1))))</f>
        <v>0</v>
      </c>
      <c r="AQ157" s="5">
        <f t="shared" ref="AQ157:AQ220" si="92">IF(AND(BG157&gt;=$V$2,BG157&lt;=$AA$2),LOOKUP(BG157,$V$2:$AA$2,$V157:$AA157),IF(BG156="A",0,IF(AQ156=$H157,0,IF(AQ156=0,0,AQ156+1))))</f>
        <v>0</v>
      </c>
      <c r="AR157" s="5">
        <f t="shared" ref="AR157:AR220" si="93">IF(AND(BH157&gt;=$V$2,BH157&lt;=$AA$2),LOOKUP(BH157,$V$2:$AA$2,$V157:$AA157),IF(BH156="A",0,IF(AR156=$H157,0,IF(AR156=0,0,AR156+1))))</f>
        <v>0</v>
      </c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M157" s="40">
        <f>IF(OR(V156=4,V156=8,V156=12,V156=16,V156=20),$CA$1,0)</f>
        <v>161491.14583333334</v>
      </c>
      <c r="BN157" s="40">
        <f>IF(OR(W156=4,W156=8,W156=12,W156=16,W156=20),$CA$1,0)</f>
        <v>0</v>
      </c>
      <c r="BO157" s="40">
        <f>IF(OR(X156=4,X156=8,X156=12,X156=16,X156=20),$CA$1,0)</f>
        <v>0</v>
      </c>
      <c r="BP157" s="40">
        <f>IF(OR(Y156=4,Y156=8,Y156=12,Y156=16,Y156=20),$CA$1,0)</f>
        <v>0</v>
      </c>
      <c r="BQ157" s="40">
        <f>IF(OR(Z156=4,Z156=8,Z156=12,Z156=16,Z156=20),$CA$1,0)</f>
        <v>0</v>
      </c>
      <c r="BR157" s="40">
        <f>IF(OR(AA156=4,AA156=8,AA156=12,AA156=16,AA156=20),$CA$1,0)</f>
        <v>0</v>
      </c>
      <c r="BS157" s="40">
        <f>IF(V153=20,$CB$1,0)</f>
        <v>0</v>
      </c>
      <c r="BT157" s="40">
        <f>IF(W153=20,$CB$1,0)</f>
        <v>0</v>
      </c>
      <c r="BU157" s="40">
        <f>IF(X153=20,$CB$1,0)</f>
        <v>0</v>
      </c>
      <c r="BV157" s="40">
        <f>IF(Y153=20,$CB$1,0)</f>
        <v>0</v>
      </c>
      <c r="BW157" s="40">
        <f>IF(Z153=20,$CB$1,0)</f>
        <v>0</v>
      </c>
      <c r="BX157" s="40">
        <f>IF(AA153=20,$CB$1,0)</f>
        <v>0</v>
      </c>
      <c r="BY157" s="41">
        <f t="shared" si="64"/>
        <v>161491.14583333334</v>
      </c>
      <c r="BZ157" s="41">
        <f t="shared" si="74"/>
        <v>161491.14583333334</v>
      </c>
      <c r="CA157" s="58">
        <f t="shared" si="65"/>
        <v>44172</v>
      </c>
      <c r="CB157" s="47">
        <f t="shared" si="75"/>
        <v>0</v>
      </c>
    </row>
    <row r="158" spans="1:83" ht="15" hidden="1" outlineLevel="1" x14ac:dyDescent="0.2">
      <c r="B158" s="18">
        <f t="shared" si="69"/>
        <v>44179</v>
      </c>
      <c r="C158" s="17" t="s">
        <v>1</v>
      </c>
      <c r="D158" s="19">
        <f t="shared" si="70"/>
        <v>44185</v>
      </c>
      <c r="E158" s="20">
        <f t="shared" si="71"/>
        <v>12</v>
      </c>
      <c r="F158" s="21">
        <f t="shared" si="72"/>
        <v>2020</v>
      </c>
      <c r="G158" s="11">
        <f t="shared" si="77"/>
        <v>22</v>
      </c>
      <c r="H158" s="10">
        <f t="shared" si="77"/>
        <v>66</v>
      </c>
      <c r="I158" s="11"/>
      <c r="J158" s="11"/>
      <c r="K158" s="11"/>
      <c r="L158" s="11"/>
      <c r="M158" s="11"/>
      <c r="N158" s="11"/>
      <c r="O158" s="14"/>
      <c r="P158" s="14"/>
      <c r="Q158" s="14"/>
      <c r="R158" s="14"/>
      <c r="S158" s="14"/>
      <c r="T158" s="14"/>
      <c r="V158" s="22">
        <f t="shared" si="76"/>
        <v>10</v>
      </c>
      <c r="W158" s="22">
        <f t="shared" si="76"/>
        <v>0</v>
      </c>
      <c r="X158" s="22">
        <f t="shared" si="76"/>
        <v>0</v>
      </c>
      <c r="Y158" s="22">
        <f t="shared" si="76"/>
        <v>0</v>
      </c>
      <c r="Z158" s="22">
        <f t="shared" si="76"/>
        <v>0</v>
      </c>
      <c r="AA158" s="22">
        <f t="shared" si="76"/>
        <v>0</v>
      </c>
      <c r="AB158" s="1"/>
      <c r="AC158" s="5">
        <f t="shared" si="78"/>
        <v>34</v>
      </c>
      <c r="AD158" s="5">
        <f t="shared" si="79"/>
        <v>29</v>
      </c>
      <c r="AE158" s="5">
        <f t="shared" si="80"/>
        <v>64</v>
      </c>
      <c r="AF158" s="5">
        <f t="shared" si="81"/>
        <v>0</v>
      </c>
      <c r="AG158" s="5">
        <f t="shared" si="82"/>
        <v>0</v>
      </c>
      <c r="AH158" s="5">
        <f t="shared" si="83"/>
        <v>0</v>
      </c>
      <c r="AI158" s="5">
        <f t="shared" si="84"/>
        <v>0</v>
      </c>
      <c r="AJ158" s="5">
        <f t="shared" si="85"/>
        <v>0</v>
      </c>
      <c r="AK158" s="5">
        <f t="shared" si="86"/>
        <v>0</v>
      </c>
      <c r="AL158" s="5">
        <f t="shared" si="87"/>
        <v>0</v>
      </c>
      <c r="AM158" s="5">
        <f t="shared" si="88"/>
        <v>0</v>
      </c>
      <c r="AN158" s="5">
        <f t="shared" si="89"/>
        <v>0</v>
      </c>
      <c r="AO158" s="5">
        <f t="shared" si="90"/>
        <v>0</v>
      </c>
      <c r="AP158" s="5">
        <f t="shared" si="91"/>
        <v>0</v>
      </c>
      <c r="AQ158" s="5">
        <f t="shared" si="92"/>
        <v>0</v>
      </c>
      <c r="AR158" s="5">
        <f t="shared" si="93"/>
        <v>0</v>
      </c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M158" s="40">
        <f>IF(OR(V157=4,V157=8,V157=12,V157=16,V157=20),$CA$1,0)</f>
        <v>0</v>
      </c>
      <c r="BN158" s="40">
        <f>IF(OR(W157=4,W157=8,W157=12,W157=16,W157=20),$CA$1,0)</f>
        <v>0</v>
      </c>
      <c r="BO158" s="40">
        <f>IF(OR(X157=4,X157=8,X157=12,X157=16,X157=20),$CA$1,0)</f>
        <v>0</v>
      </c>
      <c r="BP158" s="40">
        <f>IF(OR(Y157=4,Y157=8,Y157=12,Y157=16,Y157=20),$CA$1,0)</f>
        <v>0</v>
      </c>
      <c r="BQ158" s="40">
        <f>IF(OR(Z157=4,Z157=8,Z157=12,Z157=16,Z157=20),$CA$1,0)</f>
        <v>0</v>
      </c>
      <c r="BR158" s="40">
        <f>IF(OR(AA157=4,AA157=8,AA157=12,AA157=16,AA157=20),$CA$1,0)</f>
        <v>0</v>
      </c>
      <c r="BS158" s="40">
        <f>IF(V154=20,$CB$1,0)</f>
        <v>0</v>
      </c>
      <c r="BT158" s="40">
        <f>IF(W154=20,$CB$1,0)</f>
        <v>0</v>
      </c>
      <c r="BU158" s="40">
        <f>IF(X154=20,$CB$1,0)</f>
        <v>0</v>
      </c>
      <c r="BV158" s="40">
        <f>IF(Y154=20,$CB$1,0)</f>
        <v>0</v>
      </c>
      <c r="BW158" s="40">
        <f>IF(Z154=20,$CB$1,0)</f>
        <v>0</v>
      </c>
      <c r="BX158" s="40">
        <f>IF(AA154=20,$CB$1,0)</f>
        <v>0</v>
      </c>
      <c r="BY158" s="41">
        <f t="shared" si="64"/>
        <v>0</v>
      </c>
      <c r="BZ158" s="41">
        <f t="shared" si="74"/>
        <v>161491.14583333334</v>
      </c>
      <c r="CA158" s="58">
        <f t="shared" si="65"/>
        <v>44179</v>
      </c>
      <c r="CB158" s="47">
        <f t="shared" si="75"/>
        <v>0</v>
      </c>
    </row>
    <row r="159" spans="1:83" ht="15" collapsed="1" x14ac:dyDescent="0.2">
      <c r="B159" s="18">
        <f t="shared" si="69"/>
        <v>44186</v>
      </c>
      <c r="C159" s="17" t="s">
        <v>1</v>
      </c>
      <c r="D159" s="19">
        <f t="shared" si="70"/>
        <v>44192</v>
      </c>
      <c r="E159" s="20">
        <f t="shared" si="71"/>
        <v>12</v>
      </c>
      <c r="F159" s="21">
        <f t="shared" si="72"/>
        <v>2020</v>
      </c>
      <c r="G159" s="11">
        <f t="shared" si="77"/>
        <v>22</v>
      </c>
      <c r="H159" s="10">
        <f t="shared" si="77"/>
        <v>66</v>
      </c>
      <c r="I159" s="11"/>
      <c r="J159" s="11"/>
      <c r="K159" s="11"/>
      <c r="L159" s="11"/>
      <c r="M159" s="11"/>
      <c r="N159" s="11"/>
      <c r="O159" s="14"/>
      <c r="P159" s="14"/>
      <c r="Q159" s="14"/>
      <c r="R159" s="14"/>
      <c r="S159" s="14"/>
      <c r="T159" s="14"/>
      <c r="V159" s="22">
        <f t="shared" si="76"/>
        <v>11</v>
      </c>
      <c r="W159" s="22">
        <f t="shared" si="76"/>
        <v>0</v>
      </c>
      <c r="X159" s="22">
        <f t="shared" si="76"/>
        <v>0</v>
      </c>
      <c r="Y159" s="22">
        <f t="shared" si="76"/>
        <v>0</v>
      </c>
      <c r="Z159" s="22">
        <f t="shared" si="76"/>
        <v>0</v>
      </c>
      <c r="AA159" s="22">
        <f t="shared" si="76"/>
        <v>0</v>
      </c>
      <c r="AB159" s="1"/>
      <c r="AC159" s="5">
        <f t="shared" si="78"/>
        <v>35</v>
      </c>
      <c r="AD159" s="5">
        <f t="shared" si="79"/>
        <v>30</v>
      </c>
      <c r="AE159" s="5">
        <f t="shared" si="80"/>
        <v>65</v>
      </c>
      <c r="AF159" s="5">
        <f t="shared" si="81"/>
        <v>0</v>
      </c>
      <c r="AG159" s="5">
        <f t="shared" si="82"/>
        <v>0</v>
      </c>
      <c r="AH159" s="5">
        <f t="shared" si="83"/>
        <v>0</v>
      </c>
      <c r="AI159" s="5">
        <f t="shared" si="84"/>
        <v>0</v>
      </c>
      <c r="AJ159" s="5">
        <f t="shared" si="85"/>
        <v>0</v>
      </c>
      <c r="AK159" s="5">
        <f t="shared" si="86"/>
        <v>0</v>
      </c>
      <c r="AL159" s="5">
        <f t="shared" si="87"/>
        <v>0</v>
      </c>
      <c r="AM159" s="5">
        <f t="shared" si="88"/>
        <v>0</v>
      </c>
      <c r="AN159" s="5">
        <f t="shared" si="89"/>
        <v>0</v>
      </c>
      <c r="AO159" s="5">
        <f t="shared" si="90"/>
        <v>0</v>
      </c>
      <c r="AP159" s="5">
        <f t="shared" si="91"/>
        <v>0</v>
      </c>
      <c r="AQ159" s="5">
        <f t="shared" si="92"/>
        <v>0</v>
      </c>
      <c r="AR159" s="5">
        <f t="shared" si="93"/>
        <v>0</v>
      </c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M159" s="40">
        <f>IF(OR(V158=4,V158=8,V158=12,V158=16,V158=20),$CA$1,0)</f>
        <v>0</v>
      </c>
      <c r="BN159" s="40">
        <f>IF(OR(W158=4,W158=8,W158=12,W158=16,W158=20),$CA$1,0)</f>
        <v>0</v>
      </c>
      <c r="BO159" s="40">
        <f>IF(OR(X158=4,X158=8,X158=12,X158=16,X158=20),$CA$1,0)</f>
        <v>0</v>
      </c>
      <c r="BP159" s="40">
        <f>IF(OR(Y158=4,Y158=8,Y158=12,Y158=16,Y158=20),$CA$1,0)</f>
        <v>0</v>
      </c>
      <c r="BQ159" s="40">
        <f>IF(OR(Z158=4,Z158=8,Z158=12,Z158=16,Z158=20),$CA$1,0)</f>
        <v>0</v>
      </c>
      <c r="BR159" s="40">
        <f>IF(OR(AA158=4,AA158=8,AA158=12,AA158=16,AA158=20),$CA$1,0)</f>
        <v>0</v>
      </c>
      <c r="BS159" s="40">
        <f>IF(V155=20,$CB$1,0)</f>
        <v>0</v>
      </c>
      <c r="BT159" s="40">
        <f>IF(W155=20,$CB$1,0)</f>
        <v>0</v>
      </c>
      <c r="BU159" s="40">
        <f>IF(X155=20,$CB$1,0)</f>
        <v>0</v>
      </c>
      <c r="BV159" s="40">
        <f>IF(Y155=20,$CB$1,0)</f>
        <v>0</v>
      </c>
      <c r="BW159" s="40">
        <f>IF(Z155=20,$CB$1,0)</f>
        <v>0</v>
      </c>
      <c r="BX159" s="40">
        <f>IF(AA155=20,$CB$1,0)</f>
        <v>0</v>
      </c>
      <c r="BY159" s="41">
        <f t="shared" ref="BY159:BY198" si="94">SUM(BM159:BX159)</f>
        <v>0</v>
      </c>
      <c r="BZ159" s="41">
        <f t="shared" ref="BZ159:BZ198" si="95">IF(E159=E158,BY159+BZ158,BY159)</f>
        <v>161491.14583333334</v>
      </c>
      <c r="CA159" s="58">
        <f t="shared" si="65"/>
        <v>44186</v>
      </c>
      <c r="CB159" s="47">
        <f>IF(E159=E160,0,BZ159)</f>
        <v>0</v>
      </c>
    </row>
    <row r="160" spans="1:83" ht="15" outlineLevel="1" x14ac:dyDescent="0.2">
      <c r="B160" s="18">
        <f t="shared" si="69"/>
        <v>44193</v>
      </c>
      <c r="C160" s="17" t="s">
        <v>1</v>
      </c>
      <c r="D160" s="19">
        <f t="shared" si="70"/>
        <v>44199</v>
      </c>
      <c r="E160" s="20">
        <f t="shared" si="71"/>
        <v>12</v>
      </c>
      <c r="F160" s="21">
        <f t="shared" si="72"/>
        <v>2021</v>
      </c>
      <c r="G160" s="11">
        <f t="shared" si="77"/>
        <v>22</v>
      </c>
      <c r="H160" s="10">
        <f t="shared" si="77"/>
        <v>66</v>
      </c>
      <c r="I160" s="11"/>
      <c r="J160" s="11"/>
      <c r="K160" s="11"/>
      <c r="L160" s="11"/>
      <c r="M160" s="11"/>
      <c r="N160" s="11"/>
      <c r="O160" s="14"/>
      <c r="P160" s="14"/>
      <c r="Q160" s="14"/>
      <c r="R160" s="14"/>
      <c r="S160" s="14"/>
      <c r="T160" s="14"/>
      <c r="V160" s="22">
        <f t="shared" si="76"/>
        <v>12</v>
      </c>
      <c r="W160" s="22">
        <f t="shared" si="76"/>
        <v>0</v>
      </c>
      <c r="X160" s="22">
        <f t="shared" si="76"/>
        <v>0</v>
      </c>
      <c r="Y160" s="22">
        <f t="shared" si="76"/>
        <v>0</v>
      </c>
      <c r="Z160" s="22">
        <f t="shared" si="76"/>
        <v>0</v>
      </c>
      <c r="AA160" s="22">
        <f t="shared" si="76"/>
        <v>0</v>
      </c>
      <c r="AB160" s="1"/>
      <c r="AC160" s="5">
        <f t="shared" si="78"/>
        <v>36</v>
      </c>
      <c r="AD160" s="5">
        <f t="shared" si="79"/>
        <v>31</v>
      </c>
      <c r="AE160" s="5">
        <f t="shared" si="80"/>
        <v>66</v>
      </c>
      <c r="AF160" s="5">
        <f t="shared" si="81"/>
        <v>0</v>
      </c>
      <c r="AG160" s="5">
        <f t="shared" si="82"/>
        <v>0</v>
      </c>
      <c r="AH160" s="5">
        <f t="shared" si="83"/>
        <v>0</v>
      </c>
      <c r="AI160" s="5">
        <f t="shared" si="84"/>
        <v>0</v>
      </c>
      <c r="AJ160" s="5">
        <f t="shared" si="85"/>
        <v>0</v>
      </c>
      <c r="AK160" s="5">
        <f t="shared" si="86"/>
        <v>0</v>
      </c>
      <c r="AL160" s="5">
        <f t="shared" si="87"/>
        <v>0</v>
      </c>
      <c r="AM160" s="5">
        <f t="shared" si="88"/>
        <v>0</v>
      </c>
      <c r="AN160" s="5">
        <f t="shared" si="89"/>
        <v>0</v>
      </c>
      <c r="AO160" s="5">
        <f t="shared" si="90"/>
        <v>0</v>
      </c>
      <c r="AP160" s="5">
        <f t="shared" si="91"/>
        <v>0</v>
      </c>
      <c r="AQ160" s="5">
        <f t="shared" si="92"/>
        <v>0</v>
      </c>
      <c r="AR160" s="5">
        <f t="shared" si="93"/>
        <v>0</v>
      </c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M160" s="40">
        <f>IF(OR(V159=4,V159=8,V159=12,V159=16,V159=20),$CA$1,0)</f>
        <v>0</v>
      </c>
      <c r="BN160" s="40">
        <f>IF(OR(W159=4,W159=8,W159=12,W159=16,W159=20),$CA$1,0)</f>
        <v>0</v>
      </c>
      <c r="BO160" s="40">
        <f>IF(OR(X159=4,X159=8,X159=12,X159=16,X159=20),$CA$1,0)</f>
        <v>0</v>
      </c>
      <c r="BP160" s="40">
        <f>IF(OR(Y159=4,Y159=8,Y159=12,Y159=16,Y159=20),$CA$1,0)</f>
        <v>0</v>
      </c>
      <c r="BQ160" s="40">
        <f>IF(OR(Z159=4,Z159=8,Z159=12,Z159=16,Z159=20),$CA$1,0)</f>
        <v>0</v>
      </c>
      <c r="BR160" s="40">
        <f>IF(OR(AA159=4,AA159=8,AA159=12,AA159=16,AA159=20),$CA$1,0)</f>
        <v>0</v>
      </c>
      <c r="BS160" s="40">
        <f>IF(V156=20,$CB$1,0)</f>
        <v>0</v>
      </c>
      <c r="BT160" s="40">
        <f>IF(W156=20,$CB$1,0)</f>
        <v>0</v>
      </c>
      <c r="BU160" s="40">
        <f>IF(X156=20,$CB$1,0)</f>
        <v>0</v>
      </c>
      <c r="BV160" s="40">
        <f>IF(Y156=20,$CB$1,0)</f>
        <v>0</v>
      </c>
      <c r="BW160" s="40">
        <f>IF(Z156=20,$CB$1,0)</f>
        <v>0</v>
      </c>
      <c r="BX160" s="40">
        <f>IF(AA156=20,$CB$1,0)</f>
        <v>0</v>
      </c>
      <c r="BY160" s="41">
        <f t="shared" si="94"/>
        <v>0</v>
      </c>
      <c r="BZ160" s="41">
        <f t="shared" si="95"/>
        <v>161491.14583333334</v>
      </c>
      <c r="CA160" s="58">
        <f t="shared" si="65"/>
        <v>44193</v>
      </c>
      <c r="CB160" s="47">
        <f>IF(E160=E161,0,BZ160)</f>
        <v>161491.14583333334</v>
      </c>
      <c r="CD160" s="48"/>
      <c r="CE160" s="49"/>
    </row>
    <row r="161" spans="2:83" ht="15" outlineLevel="1" x14ac:dyDescent="0.2">
      <c r="B161" s="18">
        <f t="shared" si="69"/>
        <v>44200</v>
      </c>
      <c r="C161" s="17" t="s">
        <v>1</v>
      </c>
      <c r="D161" s="19">
        <f t="shared" si="70"/>
        <v>44206</v>
      </c>
      <c r="E161" s="20">
        <f t="shared" si="71"/>
        <v>1</v>
      </c>
      <c r="F161" s="21">
        <f t="shared" si="72"/>
        <v>2021</v>
      </c>
      <c r="G161" s="11">
        <f t="shared" si="77"/>
        <v>22</v>
      </c>
      <c r="H161" s="10">
        <f t="shared" si="77"/>
        <v>66</v>
      </c>
      <c r="I161" s="11"/>
      <c r="J161" s="11"/>
      <c r="K161" s="11"/>
      <c r="L161" s="11"/>
      <c r="M161" s="11"/>
      <c r="N161" s="11"/>
      <c r="O161" s="14"/>
      <c r="P161" s="14"/>
      <c r="Q161" s="14"/>
      <c r="R161" s="14"/>
      <c r="S161" s="14"/>
      <c r="T161" s="14"/>
      <c r="V161" s="22">
        <f t="shared" si="76"/>
        <v>13</v>
      </c>
      <c r="W161" s="22">
        <f t="shared" si="76"/>
        <v>0</v>
      </c>
      <c r="X161" s="22">
        <f t="shared" si="76"/>
        <v>0</v>
      </c>
      <c r="Y161" s="22">
        <f t="shared" si="76"/>
        <v>0</v>
      </c>
      <c r="Z161" s="22">
        <f t="shared" si="76"/>
        <v>0</v>
      </c>
      <c r="AA161" s="22">
        <f t="shared" si="76"/>
        <v>0</v>
      </c>
      <c r="AB161" s="1"/>
      <c r="AC161" s="5">
        <f t="shared" si="78"/>
        <v>37</v>
      </c>
      <c r="AD161" s="5">
        <f t="shared" si="79"/>
        <v>32</v>
      </c>
      <c r="AE161" s="5">
        <f t="shared" si="80"/>
        <v>0</v>
      </c>
      <c r="AF161" s="5">
        <f t="shared" si="81"/>
        <v>0</v>
      </c>
      <c r="AG161" s="5">
        <f t="shared" si="82"/>
        <v>0</v>
      </c>
      <c r="AH161" s="5">
        <f t="shared" si="83"/>
        <v>0</v>
      </c>
      <c r="AI161" s="5">
        <f t="shared" si="84"/>
        <v>0</v>
      </c>
      <c r="AJ161" s="5">
        <f t="shared" si="85"/>
        <v>0</v>
      </c>
      <c r="AK161" s="5">
        <f t="shared" si="86"/>
        <v>0</v>
      </c>
      <c r="AL161" s="5">
        <f t="shared" si="87"/>
        <v>0</v>
      </c>
      <c r="AM161" s="5">
        <f t="shared" si="88"/>
        <v>0</v>
      </c>
      <c r="AN161" s="5">
        <f t="shared" si="89"/>
        <v>0</v>
      </c>
      <c r="AO161" s="5">
        <f t="shared" si="90"/>
        <v>0</v>
      </c>
      <c r="AP161" s="5">
        <f t="shared" si="91"/>
        <v>0</v>
      </c>
      <c r="AQ161" s="5">
        <f t="shared" si="92"/>
        <v>0</v>
      </c>
      <c r="AR161" s="5">
        <f t="shared" si="93"/>
        <v>0</v>
      </c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M161" s="40">
        <f>IF(OR(V160=4,V160=8,V160=12,V160=16,V160=20),$CA$1,0)</f>
        <v>161491.14583333334</v>
      </c>
      <c r="BN161" s="40">
        <f>IF(OR(W160=4,W160=8,W160=12,W160=16,W160=20),$CA$1,0)</f>
        <v>0</v>
      </c>
      <c r="BO161" s="40">
        <f>IF(OR(X160=4,X160=8,X160=12,X160=16,X160=20),$CA$1,0)</f>
        <v>0</v>
      </c>
      <c r="BP161" s="40">
        <f>IF(OR(Y160=4,Y160=8,Y160=12,Y160=16,Y160=20),$CA$1,0)</f>
        <v>0</v>
      </c>
      <c r="BQ161" s="40">
        <f>IF(OR(Z160=4,Z160=8,Z160=12,Z160=16,Z160=20),$CA$1,0)</f>
        <v>0</v>
      </c>
      <c r="BR161" s="40">
        <f>IF(OR(AA160=4,AA160=8,AA160=12,AA160=16,AA160=20),$CA$1,0)</f>
        <v>0</v>
      </c>
      <c r="BS161" s="40">
        <f>IF(V157=20,$CB$1,0)</f>
        <v>0</v>
      </c>
      <c r="BT161" s="40">
        <f>IF(W157=20,$CB$1,0)</f>
        <v>0</v>
      </c>
      <c r="BU161" s="40">
        <f>IF(X157=20,$CB$1,0)</f>
        <v>0</v>
      </c>
      <c r="BV161" s="40">
        <f>IF(Y157=20,$CB$1,0)</f>
        <v>0</v>
      </c>
      <c r="BW161" s="40">
        <f>IF(Z157=20,$CB$1,0)</f>
        <v>0</v>
      </c>
      <c r="BX161" s="40">
        <f>IF(AA157=20,$CB$1,0)</f>
        <v>0</v>
      </c>
      <c r="BY161" s="41">
        <f t="shared" si="94"/>
        <v>161491.14583333334</v>
      </c>
      <c r="BZ161" s="41">
        <f t="shared" si="95"/>
        <v>161491.14583333334</v>
      </c>
      <c r="CA161" s="58">
        <f t="shared" si="65"/>
        <v>44200</v>
      </c>
      <c r="CB161" s="47">
        <f>IF(E161=E162,0,BZ161)</f>
        <v>0</v>
      </c>
      <c r="CD161" s="48"/>
      <c r="CE161" s="49"/>
    </row>
    <row r="162" spans="2:83" ht="15" outlineLevel="1" x14ac:dyDescent="0.2">
      <c r="B162" s="18">
        <f t="shared" si="69"/>
        <v>44207</v>
      </c>
      <c r="C162" s="17" t="s">
        <v>1</v>
      </c>
      <c r="D162" s="19">
        <f t="shared" si="70"/>
        <v>44213</v>
      </c>
      <c r="E162" s="20">
        <f t="shared" si="71"/>
        <v>1</v>
      </c>
      <c r="F162" s="21">
        <f t="shared" si="72"/>
        <v>2021</v>
      </c>
      <c r="G162" s="11">
        <f t="shared" si="77"/>
        <v>22</v>
      </c>
      <c r="H162" s="10">
        <f t="shared" si="77"/>
        <v>66</v>
      </c>
      <c r="I162" s="11"/>
      <c r="J162" s="11"/>
      <c r="K162" s="11"/>
      <c r="L162" s="11"/>
      <c r="M162" s="11"/>
      <c r="N162" s="11"/>
      <c r="O162" s="14"/>
      <c r="P162" s="14"/>
      <c r="Q162" s="14"/>
      <c r="R162" s="14"/>
      <c r="S162" s="14"/>
      <c r="T162" s="14"/>
      <c r="V162" s="22">
        <f t="shared" si="76"/>
        <v>14</v>
      </c>
      <c r="W162" s="22">
        <f t="shared" si="76"/>
        <v>0</v>
      </c>
      <c r="X162" s="22">
        <f t="shared" si="76"/>
        <v>0</v>
      </c>
      <c r="Y162" s="22">
        <f t="shared" si="76"/>
        <v>0</v>
      </c>
      <c r="Z162" s="22">
        <f t="shared" si="76"/>
        <v>0</v>
      </c>
      <c r="AA162" s="22">
        <f t="shared" si="76"/>
        <v>0</v>
      </c>
      <c r="AB162" s="1"/>
      <c r="AC162" s="5">
        <f t="shared" si="78"/>
        <v>38</v>
      </c>
      <c r="AD162" s="5">
        <f t="shared" si="79"/>
        <v>33</v>
      </c>
      <c r="AE162" s="5">
        <f t="shared" si="80"/>
        <v>0</v>
      </c>
      <c r="AF162" s="5">
        <f t="shared" si="81"/>
        <v>0</v>
      </c>
      <c r="AG162" s="5">
        <f t="shared" si="82"/>
        <v>0</v>
      </c>
      <c r="AH162" s="5">
        <f t="shared" si="83"/>
        <v>0</v>
      </c>
      <c r="AI162" s="5">
        <f t="shared" si="84"/>
        <v>0</v>
      </c>
      <c r="AJ162" s="5">
        <f t="shared" si="85"/>
        <v>0</v>
      </c>
      <c r="AK162" s="5">
        <f t="shared" si="86"/>
        <v>0</v>
      </c>
      <c r="AL162" s="5">
        <f t="shared" si="87"/>
        <v>0</v>
      </c>
      <c r="AM162" s="5">
        <f t="shared" si="88"/>
        <v>0</v>
      </c>
      <c r="AN162" s="5">
        <f t="shared" si="89"/>
        <v>0</v>
      </c>
      <c r="AO162" s="5">
        <f t="shared" si="90"/>
        <v>0</v>
      </c>
      <c r="AP162" s="5">
        <f t="shared" si="91"/>
        <v>0</v>
      </c>
      <c r="AQ162" s="5">
        <f t="shared" si="92"/>
        <v>0</v>
      </c>
      <c r="AR162" s="5">
        <f t="shared" si="93"/>
        <v>0</v>
      </c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M162" s="40">
        <f>IF(OR(V161=4,V161=8,V161=12,V161=16,V161=20),$CA$1,0)</f>
        <v>0</v>
      </c>
      <c r="BN162" s="40">
        <f>IF(OR(W161=4,W161=8,W161=12,W161=16,W161=20),$CA$1,0)</f>
        <v>0</v>
      </c>
      <c r="BO162" s="40">
        <f>IF(OR(X161=4,X161=8,X161=12,X161=16,X161=20),$CA$1,0)</f>
        <v>0</v>
      </c>
      <c r="BP162" s="40">
        <f>IF(OR(Y161=4,Y161=8,Y161=12,Y161=16,Y161=20),$CA$1,0)</f>
        <v>0</v>
      </c>
      <c r="BQ162" s="40">
        <f>IF(OR(Z161=4,Z161=8,Z161=12,Z161=16,Z161=20),$CA$1,0)</f>
        <v>0</v>
      </c>
      <c r="BR162" s="40">
        <f>IF(OR(AA161=4,AA161=8,AA161=12,AA161=16,AA161=20),$CA$1,0)</f>
        <v>0</v>
      </c>
      <c r="BS162" s="40">
        <f>IF(V158=20,$CB$1,0)</f>
        <v>0</v>
      </c>
      <c r="BT162" s="40">
        <f>IF(W158=20,$CB$1,0)</f>
        <v>0</v>
      </c>
      <c r="BU162" s="40">
        <f>IF(X158=20,$CB$1,0)</f>
        <v>0</v>
      </c>
      <c r="BV162" s="40">
        <f>IF(Y158=20,$CB$1,0)</f>
        <v>0</v>
      </c>
      <c r="BW162" s="40">
        <f>IF(Z158=20,$CB$1,0)</f>
        <v>0</v>
      </c>
      <c r="BX162" s="40">
        <f>IF(AA158=20,$CB$1,0)</f>
        <v>0</v>
      </c>
      <c r="BY162" s="41">
        <f t="shared" si="94"/>
        <v>0</v>
      </c>
      <c r="BZ162" s="41">
        <f t="shared" si="95"/>
        <v>161491.14583333334</v>
      </c>
      <c r="CA162" s="58">
        <f t="shared" si="65"/>
        <v>44207</v>
      </c>
      <c r="CB162" s="47">
        <f>IF(E162=E163,0,BZ162)</f>
        <v>0</v>
      </c>
      <c r="CD162" s="48"/>
      <c r="CE162" s="49"/>
    </row>
    <row r="163" spans="2:83" ht="15" outlineLevel="1" x14ac:dyDescent="0.2">
      <c r="B163" s="18">
        <f t="shared" si="69"/>
        <v>44214</v>
      </c>
      <c r="C163" s="17" t="s">
        <v>1</v>
      </c>
      <c r="D163" s="19">
        <f t="shared" si="70"/>
        <v>44220</v>
      </c>
      <c r="E163" s="20">
        <f t="shared" si="71"/>
        <v>1</v>
      </c>
      <c r="F163" s="21">
        <f t="shared" si="72"/>
        <v>2021</v>
      </c>
      <c r="G163" s="11">
        <f t="shared" si="77"/>
        <v>22</v>
      </c>
      <c r="H163" s="10">
        <f t="shared" si="77"/>
        <v>66</v>
      </c>
      <c r="I163" s="11"/>
      <c r="J163" s="11"/>
      <c r="K163" s="11"/>
      <c r="L163" s="11"/>
      <c r="M163" s="11"/>
      <c r="N163" s="11"/>
      <c r="O163" s="14"/>
      <c r="P163" s="14"/>
      <c r="Q163" s="14"/>
      <c r="R163" s="14"/>
      <c r="S163" s="14"/>
      <c r="T163" s="14"/>
      <c r="V163" s="22">
        <f t="shared" si="76"/>
        <v>15</v>
      </c>
      <c r="W163" s="22">
        <f t="shared" si="76"/>
        <v>0</v>
      </c>
      <c r="X163" s="22">
        <f t="shared" si="76"/>
        <v>0</v>
      </c>
      <c r="Y163" s="22">
        <f t="shared" si="76"/>
        <v>0</v>
      </c>
      <c r="Z163" s="22">
        <f t="shared" si="76"/>
        <v>0</v>
      </c>
      <c r="AA163" s="22">
        <f t="shared" si="76"/>
        <v>0</v>
      </c>
      <c r="AB163" s="1"/>
      <c r="AC163" s="5">
        <f t="shared" si="78"/>
        <v>39</v>
      </c>
      <c r="AD163" s="5">
        <f t="shared" si="79"/>
        <v>34</v>
      </c>
      <c r="AE163" s="5">
        <f t="shared" si="80"/>
        <v>0</v>
      </c>
      <c r="AF163" s="5">
        <f t="shared" si="81"/>
        <v>0</v>
      </c>
      <c r="AG163" s="5">
        <f t="shared" si="82"/>
        <v>0</v>
      </c>
      <c r="AH163" s="5">
        <f t="shared" si="83"/>
        <v>0</v>
      </c>
      <c r="AI163" s="5">
        <f t="shared" si="84"/>
        <v>0</v>
      </c>
      <c r="AJ163" s="5">
        <f t="shared" si="85"/>
        <v>0</v>
      </c>
      <c r="AK163" s="5">
        <f t="shared" si="86"/>
        <v>0</v>
      </c>
      <c r="AL163" s="5">
        <f t="shared" si="87"/>
        <v>0</v>
      </c>
      <c r="AM163" s="5">
        <f t="shared" si="88"/>
        <v>0</v>
      </c>
      <c r="AN163" s="5">
        <f t="shared" si="89"/>
        <v>0</v>
      </c>
      <c r="AO163" s="5">
        <f t="shared" si="90"/>
        <v>0</v>
      </c>
      <c r="AP163" s="5">
        <f t="shared" si="91"/>
        <v>0</v>
      </c>
      <c r="AQ163" s="5">
        <f t="shared" si="92"/>
        <v>0</v>
      </c>
      <c r="AR163" s="5">
        <f t="shared" si="93"/>
        <v>0</v>
      </c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M163" s="40">
        <f>IF(OR(V162=4,V162=8,V162=12,V162=16,V162=20),$CA$1,0)</f>
        <v>0</v>
      </c>
      <c r="BN163" s="40">
        <f>IF(OR(W162=4,W162=8,W162=12,W162=16,W162=20),$CA$1,0)</f>
        <v>0</v>
      </c>
      <c r="BO163" s="40">
        <f>IF(OR(X162=4,X162=8,X162=12,X162=16,X162=20),$CA$1,0)</f>
        <v>0</v>
      </c>
      <c r="BP163" s="40">
        <f>IF(OR(Y162=4,Y162=8,Y162=12,Y162=16,Y162=20),$CA$1,0)</f>
        <v>0</v>
      </c>
      <c r="BQ163" s="40">
        <f>IF(OR(Z162=4,Z162=8,Z162=12,Z162=16,Z162=20),$CA$1,0)</f>
        <v>0</v>
      </c>
      <c r="BR163" s="40">
        <f>IF(OR(AA162=4,AA162=8,AA162=12,AA162=16,AA162=20),$CA$1,0)</f>
        <v>0</v>
      </c>
      <c r="BS163" s="40">
        <f>IF(V159=20,$CB$1,0)</f>
        <v>0</v>
      </c>
      <c r="BT163" s="40">
        <f>IF(W159=20,$CB$1,0)</f>
        <v>0</v>
      </c>
      <c r="BU163" s="40">
        <f>IF(X159=20,$CB$1,0)</f>
        <v>0</v>
      </c>
      <c r="BV163" s="40">
        <f>IF(Y159=20,$CB$1,0)</f>
        <v>0</v>
      </c>
      <c r="BW163" s="40">
        <f>IF(Z159=20,$CB$1,0)</f>
        <v>0</v>
      </c>
      <c r="BX163" s="40">
        <f>IF(AA159=20,$CB$1,0)</f>
        <v>0</v>
      </c>
      <c r="BY163" s="41">
        <f t="shared" si="94"/>
        <v>0</v>
      </c>
      <c r="BZ163" s="41">
        <f t="shared" si="95"/>
        <v>161491.14583333334</v>
      </c>
      <c r="CA163" s="58">
        <f t="shared" si="65"/>
        <v>44214</v>
      </c>
      <c r="CB163" s="47">
        <f>IF(E163=E164,0,BZ163)</f>
        <v>0</v>
      </c>
      <c r="CD163" s="48"/>
      <c r="CE163" s="49"/>
    </row>
    <row r="164" spans="2:83" ht="15" outlineLevel="1" x14ac:dyDescent="0.2">
      <c r="B164" s="18">
        <f t="shared" si="69"/>
        <v>44221</v>
      </c>
      <c r="C164" s="17" t="s">
        <v>1</v>
      </c>
      <c r="D164" s="19">
        <f t="shared" si="70"/>
        <v>44227</v>
      </c>
      <c r="E164" s="20">
        <f t="shared" si="71"/>
        <v>1</v>
      </c>
      <c r="F164" s="21">
        <f t="shared" si="72"/>
        <v>2021</v>
      </c>
      <c r="G164" s="11">
        <f t="shared" si="77"/>
        <v>22</v>
      </c>
      <c r="H164" s="10">
        <f t="shared" si="77"/>
        <v>66</v>
      </c>
      <c r="I164" s="11"/>
      <c r="J164" s="11"/>
      <c r="K164" s="11"/>
      <c r="L164" s="11"/>
      <c r="M164" s="11"/>
      <c r="N164" s="11"/>
      <c r="O164" s="14"/>
      <c r="P164" s="14"/>
      <c r="Q164" s="14"/>
      <c r="R164" s="14"/>
      <c r="S164" s="14"/>
      <c r="T164" s="14"/>
      <c r="V164" s="22">
        <f t="shared" ref="V164:AA179" si="96">IF(I164&gt;0,I164,IF(O164=1,$B164+2,IF(O163=1,1,IF(O163=2,0,IF(V163=$G163,0,(IF(V163&gt;=1,V163+1,0)))))))</f>
        <v>16</v>
      </c>
      <c r="W164" s="22">
        <f t="shared" si="96"/>
        <v>0</v>
      </c>
      <c r="X164" s="22">
        <f t="shared" si="96"/>
        <v>0</v>
      </c>
      <c r="Y164" s="22">
        <f t="shared" si="96"/>
        <v>0</v>
      </c>
      <c r="Z164" s="22">
        <f t="shared" si="96"/>
        <v>0</v>
      </c>
      <c r="AA164" s="22">
        <f t="shared" si="96"/>
        <v>0</v>
      </c>
      <c r="AB164" s="1"/>
      <c r="AC164" s="5">
        <f t="shared" si="78"/>
        <v>40</v>
      </c>
      <c r="AD164" s="5">
        <f t="shared" si="79"/>
        <v>35</v>
      </c>
      <c r="AE164" s="5">
        <f t="shared" si="80"/>
        <v>0</v>
      </c>
      <c r="AF164" s="5">
        <f t="shared" si="81"/>
        <v>0</v>
      </c>
      <c r="AG164" s="5">
        <f t="shared" si="82"/>
        <v>0</v>
      </c>
      <c r="AH164" s="5">
        <f t="shared" si="83"/>
        <v>0</v>
      </c>
      <c r="AI164" s="5">
        <f t="shared" si="84"/>
        <v>0</v>
      </c>
      <c r="AJ164" s="5">
        <f t="shared" si="85"/>
        <v>0</v>
      </c>
      <c r="AK164" s="5">
        <f t="shared" si="86"/>
        <v>0</v>
      </c>
      <c r="AL164" s="5">
        <f t="shared" si="87"/>
        <v>0</v>
      </c>
      <c r="AM164" s="5">
        <f t="shared" si="88"/>
        <v>0</v>
      </c>
      <c r="AN164" s="5">
        <f t="shared" si="89"/>
        <v>0</v>
      </c>
      <c r="AO164" s="5">
        <f t="shared" si="90"/>
        <v>0</v>
      </c>
      <c r="AP164" s="5">
        <f t="shared" si="91"/>
        <v>0</v>
      </c>
      <c r="AQ164" s="5">
        <f t="shared" si="92"/>
        <v>0</v>
      </c>
      <c r="AR164" s="5">
        <f t="shared" si="93"/>
        <v>0</v>
      </c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M164" s="40">
        <f>IF(OR(V163=4,V163=8,V163=12,V163=16,V163=20),$CA$1,0)</f>
        <v>0</v>
      </c>
      <c r="BN164" s="40">
        <f>IF(OR(W163=4,W163=8,W163=12,W163=16,W163=20),$CA$1,0)</f>
        <v>0</v>
      </c>
      <c r="BO164" s="40">
        <f>IF(OR(X163=4,X163=8,X163=12,X163=16,X163=20),$CA$1,0)</f>
        <v>0</v>
      </c>
      <c r="BP164" s="40">
        <f>IF(OR(Y163=4,Y163=8,Y163=12,Y163=16,Y163=20),$CA$1,0)</f>
        <v>0</v>
      </c>
      <c r="BQ164" s="40">
        <f>IF(OR(Z163=4,Z163=8,Z163=12,Z163=16,Z163=20),$CA$1,0)</f>
        <v>0</v>
      </c>
      <c r="BR164" s="40">
        <f>IF(OR(AA163=4,AA163=8,AA163=12,AA163=16,AA163=20),$CA$1,0)</f>
        <v>0</v>
      </c>
      <c r="BS164" s="40">
        <f>IF(V160=20,$CB$1,0)</f>
        <v>0</v>
      </c>
      <c r="BT164" s="40">
        <f>IF(W160=20,$CB$1,0)</f>
        <v>0</v>
      </c>
      <c r="BU164" s="40">
        <f>IF(X160=20,$CB$1,0)</f>
        <v>0</v>
      </c>
      <c r="BV164" s="40">
        <f>IF(Y160=20,$CB$1,0)</f>
        <v>0</v>
      </c>
      <c r="BW164" s="40">
        <f>IF(Z160=20,$CB$1,0)</f>
        <v>0</v>
      </c>
      <c r="BX164" s="40">
        <f>IF(AA160=20,$CB$1,0)</f>
        <v>0</v>
      </c>
      <c r="BY164" s="41">
        <f t="shared" si="94"/>
        <v>0</v>
      </c>
      <c r="BZ164" s="41">
        <f t="shared" si="95"/>
        <v>161491.14583333334</v>
      </c>
      <c r="CA164" s="58">
        <f t="shared" si="65"/>
        <v>44221</v>
      </c>
      <c r="CB164" s="47">
        <f>IF(E164=E165,0,BZ164)</f>
        <v>161491.14583333334</v>
      </c>
      <c r="CD164" s="48" t="s">
        <v>9</v>
      </c>
      <c r="CE164" s="49">
        <f>CB164</f>
        <v>161491.14583333334</v>
      </c>
    </row>
    <row r="165" spans="2:83" ht="15" outlineLevel="1" x14ac:dyDescent="0.2">
      <c r="B165" s="18">
        <f t="shared" si="69"/>
        <v>44228</v>
      </c>
      <c r="C165" s="17" t="s">
        <v>1</v>
      </c>
      <c r="D165" s="19">
        <f t="shared" si="70"/>
        <v>44234</v>
      </c>
      <c r="E165" s="20">
        <f t="shared" si="71"/>
        <v>2</v>
      </c>
      <c r="F165" s="21">
        <f t="shared" si="72"/>
        <v>2021</v>
      </c>
      <c r="G165" s="11">
        <f t="shared" si="77"/>
        <v>22</v>
      </c>
      <c r="H165" s="10">
        <f t="shared" si="77"/>
        <v>66</v>
      </c>
      <c r="I165" s="11"/>
      <c r="J165" s="11"/>
      <c r="K165" s="11"/>
      <c r="L165" s="11"/>
      <c r="M165" s="11"/>
      <c r="N165" s="11"/>
      <c r="O165" s="14"/>
      <c r="P165" s="14"/>
      <c r="Q165" s="14"/>
      <c r="R165" s="14"/>
      <c r="S165" s="14"/>
      <c r="T165" s="14"/>
      <c r="V165" s="22">
        <f t="shared" si="96"/>
        <v>17</v>
      </c>
      <c r="W165" s="22">
        <f t="shared" si="96"/>
        <v>0</v>
      </c>
      <c r="X165" s="22">
        <f t="shared" si="96"/>
        <v>0</v>
      </c>
      <c r="Y165" s="22">
        <f t="shared" si="96"/>
        <v>0</v>
      </c>
      <c r="Z165" s="22">
        <f t="shared" si="96"/>
        <v>0</v>
      </c>
      <c r="AA165" s="22">
        <f t="shared" si="96"/>
        <v>0</v>
      </c>
      <c r="AB165" s="1"/>
      <c r="AC165" s="5">
        <f t="shared" si="78"/>
        <v>41</v>
      </c>
      <c r="AD165" s="5">
        <f t="shared" si="79"/>
        <v>36</v>
      </c>
      <c r="AE165" s="5">
        <f t="shared" si="80"/>
        <v>0</v>
      </c>
      <c r="AF165" s="5">
        <f t="shared" si="81"/>
        <v>0</v>
      </c>
      <c r="AG165" s="5">
        <f t="shared" si="82"/>
        <v>0</v>
      </c>
      <c r="AH165" s="5">
        <f t="shared" si="83"/>
        <v>0</v>
      </c>
      <c r="AI165" s="5">
        <f t="shared" si="84"/>
        <v>0</v>
      </c>
      <c r="AJ165" s="5">
        <f t="shared" si="85"/>
        <v>0</v>
      </c>
      <c r="AK165" s="5">
        <f t="shared" si="86"/>
        <v>0</v>
      </c>
      <c r="AL165" s="5">
        <f t="shared" si="87"/>
        <v>0</v>
      </c>
      <c r="AM165" s="5">
        <f t="shared" si="88"/>
        <v>0</v>
      </c>
      <c r="AN165" s="5">
        <f t="shared" si="89"/>
        <v>0</v>
      </c>
      <c r="AO165" s="5">
        <f t="shared" si="90"/>
        <v>0</v>
      </c>
      <c r="AP165" s="5">
        <f t="shared" si="91"/>
        <v>0</v>
      </c>
      <c r="AQ165" s="5">
        <f t="shared" si="92"/>
        <v>0</v>
      </c>
      <c r="AR165" s="5">
        <f t="shared" si="93"/>
        <v>0</v>
      </c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M165" s="40">
        <f>IF(OR(V164=4,V164=8,V164=12,V164=16,V164=20),$CA$1,0)</f>
        <v>161491.14583333334</v>
      </c>
      <c r="BN165" s="40">
        <f>IF(OR(W164=4,W164=8,W164=12,W164=16,W164=20),$CA$1,0)</f>
        <v>0</v>
      </c>
      <c r="BO165" s="40">
        <f>IF(OR(X164=4,X164=8,X164=12,X164=16,X164=20),$CA$1,0)</f>
        <v>0</v>
      </c>
      <c r="BP165" s="40">
        <f>IF(OR(Y164=4,Y164=8,Y164=12,Y164=16,Y164=20),$CA$1,0)</f>
        <v>0</v>
      </c>
      <c r="BQ165" s="40">
        <f>IF(OR(Z164=4,Z164=8,Z164=12,Z164=16,Z164=20),$CA$1,0)</f>
        <v>0</v>
      </c>
      <c r="BR165" s="40">
        <f>IF(OR(AA164=4,AA164=8,AA164=12,AA164=16,AA164=20),$CA$1,0)</f>
        <v>0</v>
      </c>
      <c r="BS165" s="40">
        <f>IF(V161=20,$CB$1,0)</f>
        <v>0</v>
      </c>
      <c r="BT165" s="40">
        <f>IF(W161=20,$CB$1,0)</f>
        <v>0</v>
      </c>
      <c r="BU165" s="40">
        <f>IF(X161=20,$CB$1,0)</f>
        <v>0</v>
      </c>
      <c r="BV165" s="40">
        <f>IF(Y161=20,$CB$1,0)</f>
        <v>0</v>
      </c>
      <c r="BW165" s="40">
        <f>IF(Z161=20,$CB$1,0)</f>
        <v>0</v>
      </c>
      <c r="BX165" s="40">
        <f>IF(AA161=20,$CB$1,0)</f>
        <v>0</v>
      </c>
      <c r="BY165" s="41">
        <f t="shared" si="94"/>
        <v>161491.14583333334</v>
      </c>
      <c r="BZ165" s="41">
        <f t="shared" si="95"/>
        <v>161491.14583333334</v>
      </c>
      <c r="CA165" s="58">
        <f t="shared" si="65"/>
        <v>44228</v>
      </c>
      <c r="CB165" s="47">
        <f>IF(E165=E166,0,BZ165)</f>
        <v>0</v>
      </c>
      <c r="CD165" s="48" t="s">
        <v>10</v>
      </c>
      <c r="CE165" s="49">
        <f>CB168</f>
        <v>161491.14583333334</v>
      </c>
    </row>
    <row r="166" spans="2:83" ht="15" outlineLevel="1" x14ac:dyDescent="0.2">
      <c r="B166" s="18">
        <f t="shared" si="69"/>
        <v>44235</v>
      </c>
      <c r="C166" s="17" t="s">
        <v>1</v>
      </c>
      <c r="D166" s="19">
        <f t="shared" si="70"/>
        <v>44241</v>
      </c>
      <c r="E166" s="20">
        <f t="shared" si="71"/>
        <v>2</v>
      </c>
      <c r="F166" s="21">
        <f t="shared" si="72"/>
        <v>2021</v>
      </c>
      <c r="G166" s="11">
        <f t="shared" ref="G166:H181" si="97">G165</f>
        <v>22</v>
      </c>
      <c r="H166" s="10">
        <f t="shared" si="97"/>
        <v>66</v>
      </c>
      <c r="I166" s="11"/>
      <c r="J166" s="11"/>
      <c r="K166" s="11"/>
      <c r="L166" s="11"/>
      <c r="M166" s="11"/>
      <c r="N166" s="11"/>
      <c r="O166" s="14"/>
      <c r="P166" s="14"/>
      <c r="Q166" s="14"/>
      <c r="R166" s="14"/>
      <c r="S166" s="14"/>
      <c r="T166" s="14"/>
      <c r="V166" s="22">
        <f t="shared" si="96"/>
        <v>18</v>
      </c>
      <c r="W166" s="22">
        <f t="shared" si="96"/>
        <v>0</v>
      </c>
      <c r="X166" s="22">
        <f t="shared" si="96"/>
        <v>0</v>
      </c>
      <c r="Y166" s="22">
        <f t="shared" si="96"/>
        <v>0</v>
      </c>
      <c r="Z166" s="22">
        <f t="shared" si="96"/>
        <v>0</v>
      </c>
      <c r="AA166" s="22">
        <f t="shared" si="96"/>
        <v>0</v>
      </c>
      <c r="AB166" s="1"/>
      <c r="AC166" s="5">
        <f t="shared" si="78"/>
        <v>42</v>
      </c>
      <c r="AD166" s="5">
        <f t="shared" si="79"/>
        <v>37</v>
      </c>
      <c r="AE166" s="5">
        <f t="shared" si="80"/>
        <v>0</v>
      </c>
      <c r="AF166" s="5">
        <f t="shared" si="81"/>
        <v>0</v>
      </c>
      <c r="AG166" s="5">
        <f t="shared" si="82"/>
        <v>0</v>
      </c>
      <c r="AH166" s="5">
        <f t="shared" si="83"/>
        <v>0</v>
      </c>
      <c r="AI166" s="5">
        <f t="shared" si="84"/>
        <v>0</v>
      </c>
      <c r="AJ166" s="5">
        <f t="shared" si="85"/>
        <v>0</v>
      </c>
      <c r="AK166" s="5">
        <f t="shared" si="86"/>
        <v>0</v>
      </c>
      <c r="AL166" s="5">
        <f t="shared" si="87"/>
        <v>0</v>
      </c>
      <c r="AM166" s="5">
        <f t="shared" si="88"/>
        <v>0</v>
      </c>
      <c r="AN166" s="5">
        <f t="shared" si="89"/>
        <v>0</v>
      </c>
      <c r="AO166" s="5">
        <f t="shared" si="90"/>
        <v>0</v>
      </c>
      <c r="AP166" s="5">
        <f t="shared" si="91"/>
        <v>0</v>
      </c>
      <c r="AQ166" s="5">
        <f t="shared" si="92"/>
        <v>0</v>
      </c>
      <c r="AR166" s="5">
        <f t="shared" si="93"/>
        <v>0</v>
      </c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M166" s="40">
        <f>IF(OR(V165=4,V165=8,V165=12,V165=16,V165=20),$CA$1,0)</f>
        <v>0</v>
      </c>
      <c r="BN166" s="40">
        <f>IF(OR(W165=4,W165=8,W165=12,W165=16,W165=20),$CA$1,0)</f>
        <v>0</v>
      </c>
      <c r="BO166" s="40">
        <f>IF(OR(X165=4,X165=8,X165=12,X165=16,X165=20),$CA$1,0)</f>
        <v>0</v>
      </c>
      <c r="BP166" s="40">
        <f>IF(OR(Y165=4,Y165=8,Y165=12,Y165=16,Y165=20),$CA$1,0)</f>
        <v>0</v>
      </c>
      <c r="BQ166" s="40">
        <f>IF(OR(Z165=4,Z165=8,Z165=12,Z165=16,Z165=20),$CA$1,0)</f>
        <v>0</v>
      </c>
      <c r="BR166" s="40">
        <f>IF(OR(AA165=4,AA165=8,AA165=12,AA165=16,AA165=20),$CA$1,0)</f>
        <v>0</v>
      </c>
      <c r="BS166" s="40">
        <f>IF(V162=20,$CB$1,0)</f>
        <v>0</v>
      </c>
      <c r="BT166" s="40">
        <f>IF(W162=20,$CB$1,0)</f>
        <v>0</v>
      </c>
      <c r="BU166" s="40">
        <f>IF(X162=20,$CB$1,0)</f>
        <v>0</v>
      </c>
      <c r="BV166" s="40">
        <f>IF(Y162=20,$CB$1,0)</f>
        <v>0</v>
      </c>
      <c r="BW166" s="40">
        <f>IF(Z162=20,$CB$1,0)</f>
        <v>0</v>
      </c>
      <c r="BX166" s="40">
        <f>IF(AA162=20,$CB$1,0)</f>
        <v>0</v>
      </c>
      <c r="BY166" s="41">
        <f t="shared" si="94"/>
        <v>0</v>
      </c>
      <c r="BZ166" s="41">
        <f t="shared" si="95"/>
        <v>161491.14583333334</v>
      </c>
      <c r="CA166" s="58">
        <f t="shared" si="65"/>
        <v>44235</v>
      </c>
      <c r="CB166" s="47">
        <f>IF(E166=E167,0,BZ166)</f>
        <v>0</v>
      </c>
      <c r="CD166" s="48" t="s">
        <v>11</v>
      </c>
      <c r="CE166" s="49">
        <f>CB173</f>
        <v>813016.64166666672</v>
      </c>
    </row>
    <row r="167" spans="2:83" ht="15" outlineLevel="1" x14ac:dyDescent="0.2">
      <c r="B167" s="18">
        <f t="shared" si="69"/>
        <v>44242</v>
      </c>
      <c r="C167" s="17" t="s">
        <v>1</v>
      </c>
      <c r="D167" s="19">
        <f t="shared" si="70"/>
        <v>44248</v>
      </c>
      <c r="E167" s="20">
        <f t="shared" si="71"/>
        <v>2</v>
      </c>
      <c r="F167" s="21">
        <f t="shared" si="72"/>
        <v>2021</v>
      </c>
      <c r="G167" s="11">
        <f t="shared" si="97"/>
        <v>22</v>
      </c>
      <c r="H167" s="10">
        <f t="shared" si="97"/>
        <v>66</v>
      </c>
      <c r="I167" s="11"/>
      <c r="J167" s="11"/>
      <c r="K167" s="11"/>
      <c r="L167" s="11"/>
      <c r="M167" s="11"/>
      <c r="N167" s="11"/>
      <c r="O167" s="14"/>
      <c r="P167" s="14"/>
      <c r="Q167" s="14"/>
      <c r="R167" s="14"/>
      <c r="S167" s="14"/>
      <c r="T167" s="14"/>
      <c r="V167" s="22">
        <f t="shared" si="96"/>
        <v>19</v>
      </c>
      <c r="W167" s="22">
        <f t="shared" si="96"/>
        <v>0</v>
      </c>
      <c r="X167" s="22">
        <f t="shared" si="96"/>
        <v>0</v>
      </c>
      <c r="Y167" s="22">
        <f t="shared" si="96"/>
        <v>0</v>
      </c>
      <c r="Z167" s="22">
        <f t="shared" si="96"/>
        <v>0</v>
      </c>
      <c r="AA167" s="22">
        <f t="shared" si="96"/>
        <v>0</v>
      </c>
      <c r="AB167" s="1"/>
      <c r="AC167" s="5">
        <f t="shared" si="78"/>
        <v>43</v>
      </c>
      <c r="AD167" s="5">
        <f t="shared" si="79"/>
        <v>38</v>
      </c>
      <c r="AE167" s="5">
        <f t="shared" si="80"/>
        <v>0</v>
      </c>
      <c r="AF167" s="5">
        <f t="shared" si="81"/>
        <v>0</v>
      </c>
      <c r="AG167" s="5">
        <f t="shared" si="82"/>
        <v>0</v>
      </c>
      <c r="AH167" s="5">
        <f t="shared" si="83"/>
        <v>0</v>
      </c>
      <c r="AI167" s="5">
        <f t="shared" si="84"/>
        <v>0</v>
      </c>
      <c r="AJ167" s="5">
        <f t="shared" si="85"/>
        <v>0</v>
      </c>
      <c r="AK167" s="5">
        <f t="shared" si="86"/>
        <v>0</v>
      </c>
      <c r="AL167" s="5">
        <f t="shared" si="87"/>
        <v>0</v>
      </c>
      <c r="AM167" s="5">
        <f t="shared" si="88"/>
        <v>0</v>
      </c>
      <c r="AN167" s="5">
        <f t="shared" si="89"/>
        <v>0</v>
      </c>
      <c r="AO167" s="5">
        <f t="shared" si="90"/>
        <v>0</v>
      </c>
      <c r="AP167" s="5">
        <f t="shared" si="91"/>
        <v>0</v>
      </c>
      <c r="AQ167" s="5">
        <f t="shared" si="92"/>
        <v>0</v>
      </c>
      <c r="AR167" s="5">
        <f t="shared" si="93"/>
        <v>0</v>
      </c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M167" s="40">
        <f>IF(OR(V166=4,V166=8,V166=12,V166=16,V166=20),$CA$1,0)</f>
        <v>0</v>
      </c>
      <c r="BN167" s="40">
        <f>IF(OR(W166=4,W166=8,W166=12,W166=16,W166=20),$CA$1,0)</f>
        <v>0</v>
      </c>
      <c r="BO167" s="40">
        <f>IF(OR(X166=4,X166=8,X166=12,X166=16,X166=20),$CA$1,0)</f>
        <v>0</v>
      </c>
      <c r="BP167" s="40">
        <f>IF(OR(Y166=4,Y166=8,Y166=12,Y166=16,Y166=20),$CA$1,0)</f>
        <v>0</v>
      </c>
      <c r="BQ167" s="40">
        <f>IF(OR(Z166=4,Z166=8,Z166=12,Z166=16,Z166=20),$CA$1,0)</f>
        <v>0</v>
      </c>
      <c r="BR167" s="40">
        <f>IF(OR(AA166=4,AA166=8,AA166=12,AA166=16,AA166=20),$CA$1,0)</f>
        <v>0</v>
      </c>
      <c r="BS167" s="40">
        <f>IF(V163=20,$CB$1,0)</f>
        <v>0</v>
      </c>
      <c r="BT167" s="40">
        <f>IF(W163=20,$CB$1,0)</f>
        <v>0</v>
      </c>
      <c r="BU167" s="40">
        <f>IF(X163=20,$CB$1,0)</f>
        <v>0</v>
      </c>
      <c r="BV167" s="40">
        <f>IF(Y163=20,$CB$1,0)</f>
        <v>0</v>
      </c>
      <c r="BW167" s="40">
        <f>IF(Z163=20,$CB$1,0)</f>
        <v>0</v>
      </c>
      <c r="BX167" s="40">
        <f>IF(AA163=20,$CB$1,0)</f>
        <v>0</v>
      </c>
      <c r="BY167" s="41">
        <f t="shared" si="94"/>
        <v>0</v>
      </c>
      <c r="BZ167" s="41">
        <f t="shared" si="95"/>
        <v>161491.14583333334</v>
      </c>
      <c r="CA167" s="58">
        <f t="shared" si="65"/>
        <v>44242</v>
      </c>
      <c r="CB167" s="47">
        <f>IF(E167=E168,0,BZ167)</f>
        <v>0</v>
      </c>
      <c r="CD167" s="48" t="s">
        <v>12</v>
      </c>
      <c r="CE167" s="49">
        <f>CB177</f>
        <v>0</v>
      </c>
    </row>
    <row r="168" spans="2:83" ht="15" outlineLevel="1" x14ac:dyDescent="0.2">
      <c r="B168" s="18">
        <f t="shared" si="69"/>
        <v>44249</v>
      </c>
      <c r="C168" s="17" t="s">
        <v>1</v>
      </c>
      <c r="D168" s="19">
        <f t="shared" si="70"/>
        <v>44255</v>
      </c>
      <c r="E168" s="20">
        <f t="shared" si="71"/>
        <v>2</v>
      </c>
      <c r="F168" s="21">
        <f t="shared" si="72"/>
        <v>2021</v>
      </c>
      <c r="G168" s="11">
        <f t="shared" si="97"/>
        <v>22</v>
      </c>
      <c r="H168" s="10">
        <f t="shared" si="97"/>
        <v>66</v>
      </c>
      <c r="I168" s="11"/>
      <c r="J168" s="11"/>
      <c r="K168" s="11"/>
      <c r="L168" s="11"/>
      <c r="M168" s="11"/>
      <c r="N168" s="11"/>
      <c r="O168" s="14"/>
      <c r="P168" s="14"/>
      <c r="Q168" s="14"/>
      <c r="R168" s="14"/>
      <c r="S168" s="14"/>
      <c r="T168" s="14"/>
      <c r="V168" s="22">
        <f t="shared" si="96"/>
        <v>20</v>
      </c>
      <c r="W168" s="22">
        <f t="shared" si="96"/>
        <v>0</v>
      </c>
      <c r="X168" s="22">
        <f t="shared" si="96"/>
        <v>0</v>
      </c>
      <c r="Y168" s="22">
        <f t="shared" si="96"/>
        <v>0</v>
      </c>
      <c r="Z168" s="22">
        <f t="shared" si="96"/>
        <v>0</v>
      </c>
      <c r="AA168" s="22">
        <f t="shared" si="96"/>
        <v>0</v>
      </c>
      <c r="AB168" s="1"/>
      <c r="AC168" s="5">
        <f t="shared" si="78"/>
        <v>44</v>
      </c>
      <c r="AD168" s="5">
        <f t="shared" si="79"/>
        <v>39</v>
      </c>
      <c r="AE168" s="5">
        <f t="shared" si="80"/>
        <v>0</v>
      </c>
      <c r="AF168" s="5">
        <f t="shared" si="81"/>
        <v>0</v>
      </c>
      <c r="AG168" s="5">
        <f t="shared" si="82"/>
        <v>0</v>
      </c>
      <c r="AH168" s="5">
        <f t="shared" si="83"/>
        <v>0</v>
      </c>
      <c r="AI168" s="5">
        <f t="shared" si="84"/>
        <v>0</v>
      </c>
      <c r="AJ168" s="5">
        <f t="shared" si="85"/>
        <v>0</v>
      </c>
      <c r="AK168" s="5">
        <f t="shared" si="86"/>
        <v>0</v>
      </c>
      <c r="AL168" s="5">
        <f t="shared" si="87"/>
        <v>0</v>
      </c>
      <c r="AM168" s="5">
        <f t="shared" si="88"/>
        <v>0</v>
      </c>
      <c r="AN168" s="5">
        <f t="shared" si="89"/>
        <v>0</v>
      </c>
      <c r="AO168" s="5">
        <f t="shared" si="90"/>
        <v>0</v>
      </c>
      <c r="AP168" s="5">
        <f t="shared" si="91"/>
        <v>0</v>
      </c>
      <c r="AQ168" s="5">
        <f t="shared" si="92"/>
        <v>0</v>
      </c>
      <c r="AR168" s="5">
        <f t="shared" si="93"/>
        <v>0</v>
      </c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M168" s="40">
        <f>IF(OR(V167=4,V167=8,V167=12,V167=16,V167=20),$CA$1,0)</f>
        <v>0</v>
      </c>
      <c r="BN168" s="40">
        <f>IF(OR(W167=4,W167=8,W167=12,W167=16,W167=20),$CA$1,0)</f>
        <v>0</v>
      </c>
      <c r="BO168" s="40">
        <f>IF(OR(X167=4,X167=8,X167=12,X167=16,X167=20),$CA$1,0)</f>
        <v>0</v>
      </c>
      <c r="BP168" s="40">
        <f>IF(OR(Y167=4,Y167=8,Y167=12,Y167=16,Y167=20),$CA$1,0)</f>
        <v>0</v>
      </c>
      <c r="BQ168" s="40">
        <f>IF(OR(Z167=4,Z167=8,Z167=12,Z167=16,Z167=20),$CA$1,0)</f>
        <v>0</v>
      </c>
      <c r="BR168" s="40">
        <f>IF(OR(AA167=4,AA167=8,AA167=12,AA167=16,AA167=20),$CA$1,0)</f>
        <v>0</v>
      </c>
      <c r="BS168" s="40">
        <f>IF(V164=20,$CB$1,0)</f>
        <v>0</v>
      </c>
      <c r="BT168" s="40">
        <f>IF(W164=20,$CB$1,0)</f>
        <v>0</v>
      </c>
      <c r="BU168" s="40">
        <f>IF(X164=20,$CB$1,0)</f>
        <v>0</v>
      </c>
      <c r="BV168" s="40">
        <f>IF(Y164=20,$CB$1,0)</f>
        <v>0</v>
      </c>
      <c r="BW168" s="40">
        <f>IF(Z164=20,$CB$1,0)</f>
        <v>0</v>
      </c>
      <c r="BX168" s="40">
        <f>IF(AA164=20,$CB$1,0)</f>
        <v>0</v>
      </c>
      <c r="BY168" s="41">
        <f t="shared" si="94"/>
        <v>0</v>
      </c>
      <c r="BZ168" s="41">
        <f t="shared" si="95"/>
        <v>161491.14583333334</v>
      </c>
      <c r="CA168" s="58">
        <f t="shared" si="65"/>
        <v>44249</v>
      </c>
      <c r="CB168" s="47">
        <f>IF(E168=E169,0,BZ168)</f>
        <v>161491.14583333334</v>
      </c>
      <c r="CD168" s="48" t="s">
        <v>13</v>
      </c>
      <c r="CE168" s="49">
        <f>CB181</f>
        <v>0</v>
      </c>
    </row>
    <row r="169" spans="2:83" ht="15" outlineLevel="1" x14ac:dyDescent="0.2">
      <c r="B169" s="18">
        <f t="shared" si="69"/>
        <v>44256</v>
      </c>
      <c r="C169" s="17" t="s">
        <v>1</v>
      </c>
      <c r="D169" s="19">
        <f t="shared" si="70"/>
        <v>44262</v>
      </c>
      <c r="E169" s="20">
        <f t="shared" si="71"/>
        <v>3</v>
      </c>
      <c r="F169" s="21">
        <f t="shared" si="72"/>
        <v>2021</v>
      </c>
      <c r="G169" s="11">
        <f t="shared" si="97"/>
        <v>22</v>
      </c>
      <c r="H169" s="10">
        <f t="shared" si="97"/>
        <v>66</v>
      </c>
      <c r="I169" s="11"/>
      <c r="J169" s="11"/>
      <c r="K169" s="11"/>
      <c r="L169" s="11"/>
      <c r="M169" s="11"/>
      <c r="N169" s="11"/>
      <c r="O169" s="14"/>
      <c r="P169" s="14"/>
      <c r="Q169" s="14"/>
      <c r="R169" s="14"/>
      <c r="S169" s="14"/>
      <c r="T169" s="14"/>
      <c r="V169" s="22">
        <f>IF(I169&gt;0,I169,IF(O169=1,$B169+2,IF(O168=1,1,IF(O168=2,0,IF(V168=$G168,0,(IF(V168&gt;=1,V168+1,0)))))))</f>
        <v>21</v>
      </c>
      <c r="W169" s="22">
        <f t="shared" si="96"/>
        <v>0</v>
      </c>
      <c r="X169" s="22">
        <f t="shared" si="96"/>
        <v>0</v>
      </c>
      <c r="Y169" s="22">
        <f t="shared" si="96"/>
        <v>0</v>
      </c>
      <c r="Z169" s="22">
        <f t="shared" si="96"/>
        <v>0</v>
      </c>
      <c r="AA169" s="22">
        <f t="shared" si="96"/>
        <v>0</v>
      </c>
      <c r="AB169" s="1"/>
      <c r="AC169" s="5">
        <f t="shared" si="78"/>
        <v>45</v>
      </c>
      <c r="AD169" s="5">
        <f t="shared" si="79"/>
        <v>40</v>
      </c>
      <c r="AE169" s="5">
        <f t="shared" si="80"/>
        <v>0</v>
      </c>
      <c r="AF169" s="5">
        <f t="shared" si="81"/>
        <v>0</v>
      </c>
      <c r="AG169" s="5">
        <f t="shared" si="82"/>
        <v>0</v>
      </c>
      <c r="AH169" s="5">
        <f t="shared" si="83"/>
        <v>0</v>
      </c>
      <c r="AI169" s="5">
        <f t="shared" si="84"/>
        <v>0</v>
      </c>
      <c r="AJ169" s="5">
        <f t="shared" si="85"/>
        <v>0</v>
      </c>
      <c r="AK169" s="5">
        <f t="shared" si="86"/>
        <v>0</v>
      </c>
      <c r="AL169" s="5">
        <f t="shared" si="87"/>
        <v>0</v>
      </c>
      <c r="AM169" s="5">
        <f t="shared" si="88"/>
        <v>0</v>
      </c>
      <c r="AN169" s="5">
        <f t="shared" si="89"/>
        <v>0</v>
      </c>
      <c r="AO169" s="5">
        <f t="shared" si="90"/>
        <v>0</v>
      </c>
      <c r="AP169" s="5">
        <f t="shared" si="91"/>
        <v>0</v>
      </c>
      <c r="AQ169" s="5">
        <f t="shared" si="92"/>
        <v>0</v>
      </c>
      <c r="AR169" s="5">
        <f t="shared" si="93"/>
        <v>0</v>
      </c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M169" s="40">
        <f>IF(OR(V168=4,V168=8,V168=12,V168=16,V168=20),$CA$1,0)</f>
        <v>161491.14583333334</v>
      </c>
      <c r="BN169" s="40">
        <f>IF(OR(W168=4,W168=8,W168=12,W168=16,W168=20),$CA$1,0)</f>
        <v>0</v>
      </c>
      <c r="BO169" s="40">
        <f>IF(OR(X168=4,X168=8,X168=12,X168=16,X168=20),$CA$1,0)</f>
        <v>0</v>
      </c>
      <c r="BP169" s="40">
        <f>IF(OR(Y168=4,Y168=8,Y168=12,Y168=16,Y168=20),$CA$1,0)</f>
        <v>0</v>
      </c>
      <c r="BQ169" s="40">
        <f>IF(OR(Z168=4,Z168=8,Z168=12,Z168=16,Z168=20),$CA$1,0)</f>
        <v>0</v>
      </c>
      <c r="BR169" s="40">
        <f>IF(OR(AA168=4,AA168=8,AA168=12,AA168=16,AA168=20),$CA$1,0)</f>
        <v>0</v>
      </c>
      <c r="BS169" s="40">
        <f>IF(V165=20,$CB$1,0)</f>
        <v>0</v>
      </c>
      <c r="BT169" s="40">
        <f>IF(W165=20,$CB$1,0)</f>
        <v>0</v>
      </c>
      <c r="BU169" s="40">
        <f>IF(X165=20,$CB$1,0)</f>
        <v>0</v>
      </c>
      <c r="BV169" s="40">
        <f>IF(Y165=20,$CB$1,0)</f>
        <v>0</v>
      </c>
      <c r="BW169" s="40">
        <f>IF(Z165=20,$CB$1,0)</f>
        <v>0</v>
      </c>
      <c r="BX169" s="40">
        <f>IF(AA165=20,$CB$1,0)</f>
        <v>0</v>
      </c>
      <c r="BY169" s="41">
        <f t="shared" si="94"/>
        <v>161491.14583333334</v>
      </c>
      <c r="BZ169" s="41">
        <f t="shared" si="95"/>
        <v>161491.14583333334</v>
      </c>
      <c r="CA169" s="58">
        <f t="shared" si="65"/>
        <v>44256</v>
      </c>
      <c r="CB169" s="47">
        <f>IF(E169=E170,0,BZ169)</f>
        <v>0</v>
      </c>
      <c r="CD169" s="48" t="s">
        <v>14</v>
      </c>
      <c r="CE169" s="49">
        <f>CB186</f>
        <v>161491.14583333334</v>
      </c>
    </row>
    <row r="170" spans="2:83" ht="15" outlineLevel="1" x14ac:dyDescent="0.2">
      <c r="B170" s="18">
        <f t="shared" si="69"/>
        <v>44263</v>
      </c>
      <c r="C170" s="17" t="s">
        <v>1</v>
      </c>
      <c r="D170" s="19">
        <f t="shared" si="70"/>
        <v>44269</v>
      </c>
      <c r="E170" s="20">
        <f t="shared" si="71"/>
        <v>3</v>
      </c>
      <c r="F170" s="21">
        <f t="shared" si="72"/>
        <v>2021</v>
      </c>
      <c r="G170" s="11">
        <f t="shared" si="97"/>
        <v>22</v>
      </c>
      <c r="H170" s="10">
        <f t="shared" si="97"/>
        <v>66</v>
      </c>
      <c r="I170" s="11"/>
      <c r="J170" s="11"/>
      <c r="K170" s="11"/>
      <c r="L170" s="11"/>
      <c r="M170" s="11"/>
      <c r="N170" s="11"/>
      <c r="O170" s="14"/>
      <c r="P170" s="14"/>
      <c r="Q170" s="14"/>
      <c r="R170" s="14"/>
      <c r="S170" s="14"/>
      <c r="T170" s="14"/>
      <c r="V170" s="22">
        <f t="shared" si="96"/>
        <v>22</v>
      </c>
      <c r="W170" s="22">
        <f t="shared" si="96"/>
        <v>0</v>
      </c>
      <c r="X170" s="22">
        <f t="shared" si="96"/>
        <v>0</v>
      </c>
      <c r="Y170" s="22">
        <f t="shared" si="96"/>
        <v>0</v>
      </c>
      <c r="Z170" s="22">
        <f t="shared" si="96"/>
        <v>0</v>
      </c>
      <c r="AA170" s="22">
        <f t="shared" si="96"/>
        <v>0</v>
      </c>
      <c r="AB170" s="1"/>
      <c r="AC170" s="5">
        <f t="shared" si="78"/>
        <v>46</v>
      </c>
      <c r="AD170" s="5">
        <f t="shared" si="79"/>
        <v>41</v>
      </c>
      <c r="AE170" s="5">
        <f t="shared" si="80"/>
        <v>22</v>
      </c>
      <c r="AF170" s="5">
        <f t="shared" si="81"/>
        <v>0</v>
      </c>
      <c r="AG170" s="5">
        <f t="shared" si="82"/>
        <v>0</v>
      </c>
      <c r="AH170" s="5">
        <f t="shared" si="83"/>
        <v>0</v>
      </c>
      <c r="AI170" s="5">
        <f t="shared" si="84"/>
        <v>0</v>
      </c>
      <c r="AJ170" s="5">
        <f t="shared" si="85"/>
        <v>0</v>
      </c>
      <c r="AK170" s="5">
        <f t="shared" si="86"/>
        <v>0</v>
      </c>
      <c r="AL170" s="5">
        <f t="shared" si="87"/>
        <v>0</v>
      </c>
      <c r="AM170" s="5">
        <f t="shared" si="88"/>
        <v>0</v>
      </c>
      <c r="AN170" s="5">
        <f t="shared" si="89"/>
        <v>0</v>
      </c>
      <c r="AO170" s="5">
        <f t="shared" si="90"/>
        <v>0</v>
      </c>
      <c r="AP170" s="5">
        <f t="shared" si="91"/>
        <v>0</v>
      </c>
      <c r="AQ170" s="5">
        <f t="shared" si="92"/>
        <v>0</v>
      </c>
      <c r="AR170" s="5">
        <f t="shared" si="93"/>
        <v>0</v>
      </c>
      <c r="AS170" s="10"/>
      <c r="AT170" s="10"/>
      <c r="AU170" s="10">
        <v>1</v>
      </c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M170" s="40">
        <f>IF(OR(V169=4,V169=8,V169=12,V169=16,V169=20),$CA$1,0)</f>
        <v>0</v>
      </c>
      <c r="BN170" s="40">
        <f>IF(OR(W169=4,W169=8,W169=12,W169=16,W169=20),$CA$1,0)</f>
        <v>0</v>
      </c>
      <c r="BO170" s="40">
        <f>IF(OR(X169=4,X169=8,X169=12,X169=16,X169=20),$CA$1,0)</f>
        <v>0</v>
      </c>
      <c r="BP170" s="40">
        <f>IF(OR(Y169=4,Y169=8,Y169=12,Y169=16,Y169=20),$CA$1,0)</f>
        <v>0</v>
      </c>
      <c r="BQ170" s="40">
        <f>IF(OR(Z169=4,Z169=8,Z169=12,Z169=16,Z169=20),$CA$1,0)</f>
        <v>0</v>
      </c>
      <c r="BR170" s="40">
        <f>IF(OR(AA169=4,AA169=8,AA169=12,AA169=16,AA169=20),$CA$1,0)</f>
        <v>0</v>
      </c>
      <c r="BS170" s="40">
        <f>IF(V166=20,$CB$1,0)</f>
        <v>0</v>
      </c>
      <c r="BT170" s="40">
        <f>IF(W166=20,$CB$1,0)</f>
        <v>0</v>
      </c>
      <c r="BU170" s="40">
        <f>IF(X166=20,$CB$1,0)</f>
        <v>0</v>
      </c>
      <c r="BV170" s="40">
        <f>IF(Y166=20,$CB$1,0)</f>
        <v>0</v>
      </c>
      <c r="BW170" s="40">
        <f>IF(Z166=20,$CB$1,0)</f>
        <v>0</v>
      </c>
      <c r="BX170" s="40">
        <f>IF(AA166=20,$CB$1,0)</f>
        <v>0</v>
      </c>
      <c r="BY170" s="41">
        <f t="shared" si="94"/>
        <v>0</v>
      </c>
      <c r="BZ170" s="41">
        <f t="shared" si="95"/>
        <v>161491.14583333334</v>
      </c>
      <c r="CA170" s="58">
        <f t="shared" si="65"/>
        <v>44263</v>
      </c>
      <c r="CB170" s="47">
        <f>IF(E170=E171,0,BZ170)</f>
        <v>0</v>
      </c>
      <c r="CD170" s="48" t="s">
        <v>15</v>
      </c>
      <c r="CE170" s="49">
        <f>CB190</f>
        <v>161491.14583333334</v>
      </c>
    </row>
    <row r="171" spans="2:83" ht="15" outlineLevel="1" x14ac:dyDescent="0.2">
      <c r="B171" s="18">
        <f t="shared" si="69"/>
        <v>44270</v>
      </c>
      <c r="C171" s="17" t="s">
        <v>1</v>
      </c>
      <c r="D171" s="19">
        <f t="shared" si="70"/>
        <v>44276</v>
      </c>
      <c r="E171" s="20">
        <f t="shared" si="71"/>
        <v>3</v>
      </c>
      <c r="F171" s="21">
        <f t="shared" si="72"/>
        <v>2021</v>
      </c>
      <c r="G171" s="11">
        <f t="shared" si="97"/>
        <v>22</v>
      </c>
      <c r="H171" s="10">
        <f t="shared" si="97"/>
        <v>66</v>
      </c>
      <c r="I171" s="11"/>
      <c r="J171" s="11"/>
      <c r="K171" s="11"/>
      <c r="L171" s="11"/>
      <c r="M171" s="11"/>
      <c r="N171" s="11"/>
      <c r="O171" s="14"/>
      <c r="P171" s="14"/>
      <c r="Q171" s="14"/>
      <c r="R171" s="14"/>
      <c r="S171" s="14"/>
      <c r="T171" s="14"/>
      <c r="V171" s="22">
        <f t="shared" si="96"/>
        <v>0</v>
      </c>
      <c r="W171" s="22">
        <f t="shared" si="96"/>
        <v>0</v>
      </c>
      <c r="X171" s="22">
        <f t="shared" si="96"/>
        <v>0</v>
      </c>
      <c r="Y171" s="22">
        <f t="shared" si="96"/>
        <v>0</v>
      </c>
      <c r="Z171" s="22">
        <f t="shared" si="96"/>
        <v>0</v>
      </c>
      <c r="AA171" s="22">
        <f t="shared" si="96"/>
        <v>0</v>
      </c>
      <c r="AB171" s="1"/>
      <c r="AC171" s="5">
        <f t="shared" si="78"/>
        <v>47</v>
      </c>
      <c r="AD171" s="5">
        <f t="shared" si="79"/>
        <v>42</v>
      </c>
      <c r="AE171" s="5">
        <f t="shared" si="80"/>
        <v>23</v>
      </c>
      <c r="AF171" s="5">
        <f t="shared" si="81"/>
        <v>0</v>
      </c>
      <c r="AG171" s="5">
        <f t="shared" si="82"/>
        <v>0</v>
      </c>
      <c r="AH171" s="5">
        <f t="shared" si="83"/>
        <v>0</v>
      </c>
      <c r="AI171" s="5">
        <f t="shared" si="84"/>
        <v>0</v>
      </c>
      <c r="AJ171" s="5">
        <f t="shared" si="85"/>
        <v>0</v>
      </c>
      <c r="AK171" s="5">
        <f t="shared" si="86"/>
        <v>0</v>
      </c>
      <c r="AL171" s="5">
        <f t="shared" si="87"/>
        <v>0</v>
      </c>
      <c r="AM171" s="5">
        <f t="shared" si="88"/>
        <v>0</v>
      </c>
      <c r="AN171" s="5">
        <f t="shared" si="89"/>
        <v>0</v>
      </c>
      <c r="AO171" s="5">
        <f t="shared" si="90"/>
        <v>0</v>
      </c>
      <c r="AP171" s="5">
        <f t="shared" si="91"/>
        <v>0</v>
      </c>
      <c r="AQ171" s="5">
        <f t="shared" si="92"/>
        <v>0</v>
      </c>
      <c r="AR171" s="5">
        <f t="shared" si="93"/>
        <v>0</v>
      </c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M171" s="40">
        <f>IF(OR(V170=4,V170=8,V170=12,V170=16,V170=20),$CA$1,0)</f>
        <v>0</v>
      </c>
      <c r="BN171" s="40">
        <f>IF(OR(W170=4,W170=8,W170=12,W170=16,W170=20),$CA$1,0)</f>
        <v>0</v>
      </c>
      <c r="BO171" s="40">
        <f>IF(OR(X170=4,X170=8,X170=12,X170=16,X170=20),$CA$1,0)</f>
        <v>0</v>
      </c>
      <c r="BP171" s="40">
        <f>IF(OR(Y170=4,Y170=8,Y170=12,Y170=16,Y170=20),$CA$1,0)</f>
        <v>0</v>
      </c>
      <c r="BQ171" s="40">
        <f>IF(OR(Z170=4,Z170=8,Z170=12,Z170=16,Z170=20),$CA$1,0)</f>
        <v>0</v>
      </c>
      <c r="BR171" s="40">
        <f>IF(OR(AA170=4,AA170=8,AA170=12,AA170=16,AA170=20),$CA$1,0)</f>
        <v>0</v>
      </c>
      <c r="BS171" s="40">
        <f>IF(V167=20,$CB$1,0)</f>
        <v>0</v>
      </c>
      <c r="BT171" s="40">
        <f>IF(W167=20,$CB$1,0)</f>
        <v>0</v>
      </c>
      <c r="BU171" s="40">
        <f>IF(X167=20,$CB$1,0)</f>
        <v>0</v>
      </c>
      <c r="BV171" s="40">
        <f>IF(Y167=20,$CB$1,0)</f>
        <v>0</v>
      </c>
      <c r="BW171" s="40">
        <f>IF(Z167=20,$CB$1,0)</f>
        <v>0</v>
      </c>
      <c r="BX171" s="40">
        <f>IF(AA167=20,$CB$1,0)</f>
        <v>0</v>
      </c>
      <c r="BY171" s="41">
        <f t="shared" si="94"/>
        <v>0</v>
      </c>
      <c r="BZ171" s="41">
        <f t="shared" si="95"/>
        <v>161491.14583333334</v>
      </c>
      <c r="CA171" s="58">
        <f t="shared" si="65"/>
        <v>44270</v>
      </c>
      <c r="CB171" s="47">
        <f>IF(E171=E172,0,BZ171)</f>
        <v>0</v>
      </c>
      <c r="CD171" s="48" t="s">
        <v>16</v>
      </c>
      <c r="CE171" s="49">
        <f>CB195</f>
        <v>161491.14583333334</v>
      </c>
    </row>
    <row r="172" spans="2:83" ht="15" outlineLevel="1" x14ac:dyDescent="0.2">
      <c r="B172" s="18">
        <f t="shared" si="69"/>
        <v>44277</v>
      </c>
      <c r="C172" s="17" t="s">
        <v>1</v>
      </c>
      <c r="D172" s="19">
        <f t="shared" si="70"/>
        <v>44283</v>
      </c>
      <c r="E172" s="20">
        <f t="shared" si="71"/>
        <v>3</v>
      </c>
      <c r="F172" s="21">
        <f t="shared" si="72"/>
        <v>2021</v>
      </c>
      <c r="G172" s="11">
        <f t="shared" si="97"/>
        <v>22</v>
      </c>
      <c r="H172" s="10">
        <f t="shared" si="97"/>
        <v>66</v>
      </c>
      <c r="I172" s="11"/>
      <c r="J172" s="11"/>
      <c r="K172" s="11"/>
      <c r="L172" s="11"/>
      <c r="M172" s="11"/>
      <c r="N172" s="11"/>
      <c r="O172" s="14"/>
      <c r="P172" s="14"/>
      <c r="Q172" s="14"/>
      <c r="R172" s="14"/>
      <c r="S172" s="14"/>
      <c r="T172" s="14"/>
      <c r="V172" s="22">
        <f t="shared" si="96"/>
        <v>0</v>
      </c>
      <c r="W172" s="22">
        <f t="shared" si="96"/>
        <v>0</v>
      </c>
      <c r="X172" s="22">
        <f t="shared" si="96"/>
        <v>0</v>
      </c>
      <c r="Y172" s="22">
        <f t="shared" si="96"/>
        <v>0</v>
      </c>
      <c r="Z172" s="22">
        <f t="shared" si="96"/>
        <v>0</v>
      </c>
      <c r="AA172" s="22">
        <f t="shared" si="96"/>
        <v>0</v>
      </c>
      <c r="AB172" s="1"/>
      <c r="AC172" s="5">
        <f t="shared" si="78"/>
        <v>48</v>
      </c>
      <c r="AD172" s="5">
        <f t="shared" si="79"/>
        <v>43</v>
      </c>
      <c r="AE172" s="5">
        <f t="shared" si="80"/>
        <v>24</v>
      </c>
      <c r="AF172" s="5">
        <f t="shared" si="81"/>
        <v>0</v>
      </c>
      <c r="AG172" s="5">
        <f t="shared" si="82"/>
        <v>0</v>
      </c>
      <c r="AH172" s="5">
        <f t="shared" si="83"/>
        <v>0</v>
      </c>
      <c r="AI172" s="5">
        <f t="shared" si="84"/>
        <v>0</v>
      </c>
      <c r="AJ172" s="5">
        <f t="shared" si="85"/>
        <v>0</v>
      </c>
      <c r="AK172" s="5">
        <f t="shared" si="86"/>
        <v>0</v>
      </c>
      <c r="AL172" s="5">
        <f t="shared" si="87"/>
        <v>0</v>
      </c>
      <c r="AM172" s="5">
        <f t="shared" si="88"/>
        <v>0</v>
      </c>
      <c r="AN172" s="5">
        <f t="shared" si="89"/>
        <v>0</v>
      </c>
      <c r="AO172" s="5">
        <f t="shared" si="90"/>
        <v>0</v>
      </c>
      <c r="AP172" s="5">
        <f t="shared" si="91"/>
        <v>0</v>
      </c>
      <c r="AQ172" s="5">
        <f t="shared" si="92"/>
        <v>0</v>
      </c>
      <c r="AR172" s="5">
        <f t="shared" si="93"/>
        <v>0</v>
      </c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M172" s="40">
        <f>IF(OR(V171=4,V171=8,V171=12,V171=16,V171=20),$CA$1,0)</f>
        <v>0</v>
      </c>
      <c r="BN172" s="40">
        <f>IF(OR(W171=4,W171=8,W171=12,W171=16,W171=20),$CA$1,0)</f>
        <v>0</v>
      </c>
      <c r="BO172" s="40">
        <f>IF(OR(X171=4,X171=8,X171=12,X171=16,X171=20),$CA$1,0)</f>
        <v>0</v>
      </c>
      <c r="BP172" s="40">
        <f>IF(OR(Y171=4,Y171=8,Y171=12,Y171=16,Y171=20),$CA$1,0)</f>
        <v>0</v>
      </c>
      <c r="BQ172" s="40">
        <f>IF(OR(Z171=4,Z171=8,Z171=12,Z171=16,Z171=20),$CA$1,0)</f>
        <v>0</v>
      </c>
      <c r="BR172" s="40">
        <f>IF(OR(AA171=4,AA171=8,AA171=12,AA171=16,AA171=20),$CA$1,0)</f>
        <v>0</v>
      </c>
      <c r="BS172" s="40">
        <f>IF(V168=20,$CB$1,0)</f>
        <v>651525.49583333335</v>
      </c>
      <c r="BT172" s="40">
        <f>IF(W168=20,$CB$1,0)</f>
        <v>0</v>
      </c>
      <c r="BU172" s="40">
        <f>IF(X168=20,$CB$1,0)</f>
        <v>0</v>
      </c>
      <c r="BV172" s="40">
        <f>IF(Y168=20,$CB$1,0)</f>
        <v>0</v>
      </c>
      <c r="BW172" s="40">
        <f>IF(Z168=20,$CB$1,0)</f>
        <v>0</v>
      </c>
      <c r="BX172" s="40">
        <f>IF(AA168=20,$CB$1,0)</f>
        <v>0</v>
      </c>
      <c r="BY172" s="41">
        <f t="shared" si="94"/>
        <v>651525.49583333335</v>
      </c>
      <c r="BZ172" s="41">
        <f t="shared" si="95"/>
        <v>813016.64166666672</v>
      </c>
      <c r="CA172" s="58">
        <f t="shared" si="65"/>
        <v>44277</v>
      </c>
      <c r="CB172" s="47">
        <f>IF(E172=E173,0,BZ172)</f>
        <v>0</v>
      </c>
      <c r="CD172" s="48" t="s">
        <v>17</v>
      </c>
      <c r="CE172" s="49">
        <f>CB199</f>
        <v>813016.64166666672</v>
      </c>
    </row>
    <row r="173" spans="2:83" ht="15" outlineLevel="1" x14ac:dyDescent="0.2">
      <c r="B173" s="18">
        <f t="shared" si="69"/>
        <v>44284</v>
      </c>
      <c r="C173" s="17" t="s">
        <v>1</v>
      </c>
      <c r="D173" s="19">
        <f t="shared" si="70"/>
        <v>44290</v>
      </c>
      <c r="E173" s="20">
        <f t="shared" si="71"/>
        <v>3</v>
      </c>
      <c r="F173" s="21">
        <f t="shared" si="72"/>
        <v>2021</v>
      </c>
      <c r="G173" s="11">
        <f t="shared" si="97"/>
        <v>22</v>
      </c>
      <c r="H173" s="10">
        <f t="shared" si="97"/>
        <v>66</v>
      </c>
      <c r="I173" s="11"/>
      <c r="J173" s="11"/>
      <c r="K173" s="11"/>
      <c r="L173" s="11"/>
      <c r="M173" s="11"/>
      <c r="N173" s="11"/>
      <c r="O173" s="14"/>
      <c r="P173" s="14"/>
      <c r="Q173" s="14"/>
      <c r="R173" s="14"/>
      <c r="S173" s="14"/>
      <c r="T173" s="14"/>
      <c r="V173" s="22">
        <f t="shared" si="96"/>
        <v>0</v>
      </c>
      <c r="W173" s="22">
        <f t="shared" si="96"/>
        <v>0</v>
      </c>
      <c r="X173" s="22">
        <f t="shared" si="96"/>
        <v>0</v>
      </c>
      <c r="Y173" s="22">
        <f t="shared" si="96"/>
        <v>0</v>
      </c>
      <c r="Z173" s="22">
        <f t="shared" si="96"/>
        <v>0</v>
      </c>
      <c r="AA173" s="22">
        <f t="shared" si="96"/>
        <v>0</v>
      </c>
      <c r="AB173" s="1"/>
      <c r="AC173" s="5">
        <f t="shared" si="78"/>
        <v>49</v>
      </c>
      <c r="AD173" s="5">
        <f t="shared" si="79"/>
        <v>44</v>
      </c>
      <c r="AE173" s="5">
        <f t="shared" si="80"/>
        <v>25</v>
      </c>
      <c r="AF173" s="5">
        <f t="shared" si="81"/>
        <v>0</v>
      </c>
      <c r="AG173" s="5">
        <f t="shared" si="82"/>
        <v>0</v>
      </c>
      <c r="AH173" s="5">
        <f t="shared" si="83"/>
        <v>0</v>
      </c>
      <c r="AI173" s="5">
        <f t="shared" si="84"/>
        <v>0</v>
      </c>
      <c r="AJ173" s="5">
        <f t="shared" si="85"/>
        <v>0</v>
      </c>
      <c r="AK173" s="5">
        <f t="shared" si="86"/>
        <v>0</v>
      </c>
      <c r="AL173" s="5">
        <f t="shared" si="87"/>
        <v>0</v>
      </c>
      <c r="AM173" s="5">
        <f t="shared" si="88"/>
        <v>0</v>
      </c>
      <c r="AN173" s="5">
        <f t="shared" si="89"/>
        <v>0</v>
      </c>
      <c r="AO173" s="5">
        <f t="shared" si="90"/>
        <v>0</v>
      </c>
      <c r="AP173" s="5">
        <f t="shared" si="91"/>
        <v>0</v>
      </c>
      <c r="AQ173" s="5">
        <f t="shared" si="92"/>
        <v>0</v>
      </c>
      <c r="AR173" s="5">
        <f t="shared" si="93"/>
        <v>0</v>
      </c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M173" s="40">
        <f>IF(OR(V172=4,V172=8,V172=12,V172=16,V172=20),$CA$1,0)</f>
        <v>0</v>
      </c>
      <c r="BN173" s="40">
        <f>IF(OR(W172=4,W172=8,W172=12,W172=16,W172=20),$CA$1,0)</f>
        <v>0</v>
      </c>
      <c r="BO173" s="40">
        <f>IF(OR(X172=4,X172=8,X172=12,X172=16,X172=20),$CA$1,0)</f>
        <v>0</v>
      </c>
      <c r="BP173" s="40">
        <f>IF(OR(Y172=4,Y172=8,Y172=12,Y172=16,Y172=20),$CA$1,0)</f>
        <v>0</v>
      </c>
      <c r="BQ173" s="40">
        <f>IF(OR(Z172=4,Z172=8,Z172=12,Z172=16,Z172=20),$CA$1,0)</f>
        <v>0</v>
      </c>
      <c r="BR173" s="40">
        <f>IF(OR(AA172=4,AA172=8,AA172=12,AA172=16,AA172=20),$CA$1,0)</f>
        <v>0</v>
      </c>
      <c r="BS173" s="40">
        <f>IF(V169=20,$CB$1,0)</f>
        <v>0</v>
      </c>
      <c r="BT173" s="40">
        <f>IF(W169=20,$CB$1,0)</f>
        <v>0</v>
      </c>
      <c r="BU173" s="40">
        <f>IF(X169=20,$CB$1,0)</f>
        <v>0</v>
      </c>
      <c r="BV173" s="40">
        <f>IF(Y169=20,$CB$1,0)</f>
        <v>0</v>
      </c>
      <c r="BW173" s="40">
        <f>IF(Z169=20,$CB$1,0)</f>
        <v>0</v>
      </c>
      <c r="BX173" s="40">
        <f>IF(AA169=20,$CB$1,0)</f>
        <v>0</v>
      </c>
      <c r="BY173" s="41">
        <f t="shared" si="94"/>
        <v>0</v>
      </c>
      <c r="BZ173" s="41">
        <f t="shared" si="95"/>
        <v>813016.64166666672</v>
      </c>
      <c r="CA173" s="58">
        <f t="shared" si="65"/>
        <v>44284</v>
      </c>
      <c r="CB173" s="47">
        <f>IF(E173=E174,0,BZ173)</f>
        <v>813016.64166666672</v>
      </c>
      <c r="CD173" s="48" t="s">
        <v>18</v>
      </c>
      <c r="CE173" s="49">
        <f>CB203</f>
        <v>0</v>
      </c>
    </row>
    <row r="174" spans="2:83" ht="15" outlineLevel="1" x14ac:dyDescent="0.2">
      <c r="B174" s="18">
        <f t="shared" si="69"/>
        <v>44291</v>
      </c>
      <c r="C174" s="17" t="s">
        <v>1</v>
      </c>
      <c r="D174" s="19">
        <f t="shared" si="70"/>
        <v>44297</v>
      </c>
      <c r="E174" s="20">
        <f t="shared" si="71"/>
        <v>4</v>
      </c>
      <c r="F174" s="21">
        <f t="shared" si="72"/>
        <v>2021</v>
      </c>
      <c r="G174" s="11">
        <f t="shared" si="97"/>
        <v>22</v>
      </c>
      <c r="H174" s="10">
        <f t="shared" si="97"/>
        <v>66</v>
      </c>
      <c r="I174" s="11"/>
      <c r="J174" s="11"/>
      <c r="K174" s="11"/>
      <c r="L174" s="11"/>
      <c r="M174" s="11"/>
      <c r="N174" s="11"/>
      <c r="O174" s="14"/>
      <c r="P174" s="14"/>
      <c r="Q174" s="14"/>
      <c r="R174" s="14"/>
      <c r="S174" s="14"/>
      <c r="T174" s="14"/>
      <c r="V174" s="22">
        <f t="shared" si="96"/>
        <v>0</v>
      </c>
      <c r="W174" s="22">
        <f t="shared" si="96"/>
        <v>0</v>
      </c>
      <c r="X174" s="22">
        <f t="shared" si="96"/>
        <v>0</v>
      </c>
      <c r="Y174" s="22">
        <f t="shared" si="96"/>
        <v>0</v>
      </c>
      <c r="Z174" s="22">
        <f t="shared" si="96"/>
        <v>0</v>
      </c>
      <c r="AA174" s="22">
        <f t="shared" si="96"/>
        <v>0</v>
      </c>
      <c r="AB174" s="1"/>
      <c r="AC174" s="5">
        <f t="shared" si="78"/>
        <v>50</v>
      </c>
      <c r="AD174" s="5">
        <f t="shared" si="79"/>
        <v>45</v>
      </c>
      <c r="AE174" s="5">
        <f t="shared" si="80"/>
        <v>26</v>
      </c>
      <c r="AF174" s="5">
        <f t="shared" si="81"/>
        <v>0</v>
      </c>
      <c r="AG174" s="5">
        <f t="shared" si="82"/>
        <v>0</v>
      </c>
      <c r="AH174" s="5">
        <f t="shared" si="83"/>
        <v>0</v>
      </c>
      <c r="AI174" s="5">
        <f t="shared" si="84"/>
        <v>0</v>
      </c>
      <c r="AJ174" s="5">
        <f t="shared" si="85"/>
        <v>0</v>
      </c>
      <c r="AK174" s="5">
        <f t="shared" si="86"/>
        <v>0</v>
      </c>
      <c r="AL174" s="5">
        <f t="shared" si="87"/>
        <v>0</v>
      </c>
      <c r="AM174" s="5">
        <f t="shared" si="88"/>
        <v>0</v>
      </c>
      <c r="AN174" s="5">
        <f t="shared" si="89"/>
        <v>0</v>
      </c>
      <c r="AO174" s="5">
        <f t="shared" si="90"/>
        <v>0</v>
      </c>
      <c r="AP174" s="5">
        <f t="shared" si="91"/>
        <v>0</v>
      </c>
      <c r="AQ174" s="5">
        <f t="shared" si="92"/>
        <v>0</v>
      </c>
      <c r="AR174" s="5">
        <f t="shared" si="93"/>
        <v>0</v>
      </c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M174" s="40">
        <f>IF(OR(V173=4,V173=8,V173=12,V173=16,V173=20),$CA$1,0)</f>
        <v>0</v>
      </c>
      <c r="BN174" s="40">
        <f>IF(OR(W173=4,W173=8,W173=12,W173=16,W173=20),$CA$1,0)</f>
        <v>0</v>
      </c>
      <c r="BO174" s="40">
        <f>IF(OR(X173=4,X173=8,X173=12,X173=16,X173=20),$CA$1,0)</f>
        <v>0</v>
      </c>
      <c r="BP174" s="40">
        <f>IF(OR(Y173=4,Y173=8,Y173=12,Y173=16,Y173=20),$CA$1,0)</f>
        <v>0</v>
      </c>
      <c r="BQ174" s="40">
        <f>IF(OR(Z173=4,Z173=8,Z173=12,Z173=16,Z173=20),$CA$1,0)</f>
        <v>0</v>
      </c>
      <c r="BR174" s="40">
        <f>IF(OR(AA173=4,AA173=8,AA173=12,AA173=16,AA173=20),$CA$1,0)</f>
        <v>0</v>
      </c>
      <c r="BS174" s="40">
        <f>IF(V170=20,$CB$1,0)</f>
        <v>0</v>
      </c>
      <c r="BT174" s="40">
        <f>IF(W170=20,$CB$1,0)</f>
        <v>0</v>
      </c>
      <c r="BU174" s="40">
        <f>IF(X170=20,$CB$1,0)</f>
        <v>0</v>
      </c>
      <c r="BV174" s="40">
        <f>IF(Y170=20,$CB$1,0)</f>
        <v>0</v>
      </c>
      <c r="BW174" s="40">
        <f>IF(Z170=20,$CB$1,0)</f>
        <v>0</v>
      </c>
      <c r="BX174" s="40">
        <f>IF(AA170=20,$CB$1,0)</f>
        <v>0</v>
      </c>
      <c r="BY174" s="41">
        <f t="shared" si="94"/>
        <v>0</v>
      </c>
      <c r="BZ174" s="41">
        <f t="shared" si="95"/>
        <v>0</v>
      </c>
      <c r="CA174" s="58">
        <f t="shared" ref="CA174:CA237" si="98">B174</f>
        <v>44291</v>
      </c>
      <c r="CB174" s="47">
        <f>IF(E174=E175,0,BZ174)</f>
        <v>0</v>
      </c>
      <c r="CD174" s="48" t="s">
        <v>19</v>
      </c>
      <c r="CE174" s="49">
        <f>CB208</f>
        <v>0</v>
      </c>
    </row>
    <row r="175" spans="2:83" ht="15" outlineLevel="1" x14ac:dyDescent="0.2">
      <c r="B175" s="18">
        <f t="shared" si="69"/>
        <v>44298</v>
      </c>
      <c r="C175" s="17" t="s">
        <v>1</v>
      </c>
      <c r="D175" s="19">
        <f t="shared" si="70"/>
        <v>44304</v>
      </c>
      <c r="E175" s="20">
        <f t="shared" si="71"/>
        <v>4</v>
      </c>
      <c r="F175" s="21">
        <f t="shared" si="72"/>
        <v>2021</v>
      </c>
      <c r="G175" s="11">
        <f t="shared" si="97"/>
        <v>22</v>
      </c>
      <c r="H175" s="10">
        <f t="shared" si="97"/>
        <v>66</v>
      </c>
      <c r="I175" s="11"/>
      <c r="J175" s="11"/>
      <c r="K175" s="11"/>
      <c r="L175" s="11"/>
      <c r="M175" s="11"/>
      <c r="N175" s="11"/>
      <c r="O175" s="14">
        <v>1</v>
      </c>
      <c r="P175" s="14"/>
      <c r="Q175" s="14"/>
      <c r="R175" s="14"/>
      <c r="S175" s="14"/>
      <c r="T175" s="14"/>
      <c r="V175" s="22">
        <f t="shared" si="96"/>
        <v>44300</v>
      </c>
      <c r="W175" s="22">
        <f t="shared" si="96"/>
        <v>0</v>
      </c>
      <c r="X175" s="22">
        <f t="shared" si="96"/>
        <v>0</v>
      </c>
      <c r="Y175" s="22">
        <f t="shared" si="96"/>
        <v>0</v>
      </c>
      <c r="Z175" s="22">
        <f t="shared" si="96"/>
        <v>0</v>
      </c>
      <c r="AA175" s="22">
        <f t="shared" si="96"/>
        <v>0</v>
      </c>
      <c r="AB175" s="1"/>
      <c r="AC175" s="5">
        <f t="shared" si="78"/>
        <v>51</v>
      </c>
      <c r="AD175" s="5">
        <f t="shared" si="79"/>
        <v>46</v>
      </c>
      <c r="AE175" s="5">
        <f t="shared" si="80"/>
        <v>27</v>
      </c>
      <c r="AF175" s="5">
        <f t="shared" si="81"/>
        <v>0</v>
      </c>
      <c r="AG175" s="5">
        <f t="shared" si="82"/>
        <v>0</v>
      </c>
      <c r="AH175" s="5">
        <f t="shared" si="83"/>
        <v>0</v>
      </c>
      <c r="AI175" s="5">
        <f t="shared" si="84"/>
        <v>0</v>
      </c>
      <c r="AJ175" s="5">
        <f t="shared" si="85"/>
        <v>0</v>
      </c>
      <c r="AK175" s="5">
        <f t="shared" si="86"/>
        <v>0</v>
      </c>
      <c r="AL175" s="5">
        <f t="shared" si="87"/>
        <v>0</v>
      </c>
      <c r="AM175" s="5">
        <f t="shared" si="88"/>
        <v>0</v>
      </c>
      <c r="AN175" s="5">
        <f t="shared" si="89"/>
        <v>0</v>
      </c>
      <c r="AO175" s="5">
        <f t="shared" si="90"/>
        <v>0</v>
      </c>
      <c r="AP175" s="5">
        <f t="shared" si="91"/>
        <v>0</v>
      </c>
      <c r="AQ175" s="5">
        <f t="shared" si="92"/>
        <v>0</v>
      </c>
      <c r="AR175" s="5">
        <f t="shared" si="93"/>
        <v>0</v>
      </c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M175" s="40">
        <f>IF(OR(V174=4,V174=8,V174=12,V174=16,V174=20),$CA$1,0)</f>
        <v>0</v>
      </c>
      <c r="BN175" s="40">
        <f>IF(OR(W174=4,W174=8,W174=12,W174=16,W174=20),$CA$1,0)</f>
        <v>0</v>
      </c>
      <c r="BO175" s="40">
        <f>IF(OR(X174=4,X174=8,X174=12,X174=16,X174=20),$CA$1,0)</f>
        <v>0</v>
      </c>
      <c r="BP175" s="40">
        <f>IF(OR(Y174=4,Y174=8,Y174=12,Y174=16,Y174=20),$CA$1,0)</f>
        <v>0</v>
      </c>
      <c r="BQ175" s="40">
        <f>IF(OR(Z174=4,Z174=8,Z174=12,Z174=16,Z174=20),$CA$1,0)</f>
        <v>0</v>
      </c>
      <c r="BR175" s="40">
        <f>IF(OR(AA174=4,AA174=8,AA174=12,AA174=16,AA174=20),$CA$1,0)</f>
        <v>0</v>
      </c>
      <c r="BS175" s="40">
        <f>IF(V171=20,$CB$1,0)</f>
        <v>0</v>
      </c>
      <c r="BT175" s="40">
        <f>IF(W171=20,$CB$1,0)</f>
        <v>0</v>
      </c>
      <c r="BU175" s="40">
        <f>IF(X171=20,$CB$1,0)</f>
        <v>0</v>
      </c>
      <c r="BV175" s="40">
        <f>IF(Y171=20,$CB$1,0)</f>
        <v>0</v>
      </c>
      <c r="BW175" s="40">
        <f>IF(Z171=20,$CB$1,0)</f>
        <v>0</v>
      </c>
      <c r="BX175" s="40">
        <f>IF(AA171=20,$CB$1,0)</f>
        <v>0</v>
      </c>
      <c r="BY175" s="41">
        <f t="shared" si="94"/>
        <v>0</v>
      </c>
      <c r="BZ175" s="41">
        <f t="shared" si="95"/>
        <v>0</v>
      </c>
      <c r="CA175" s="58">
        <f t="shared" si="98"/>
        <v>44298</v>
      </c>
      <c r="CB175" s="47">
        <f>IF(E175=E176,0,BZ175)</f>
        <v>0</v>
      </c>
      <c r="CD175" s="48" t="s">
        <v>20</v>
      </c>
      <c r="CE175" s="49">
        <f>BZ211</f>
        <v>161491.14583333334</v>
      </c>
    </row>
    <row r="176" spans="2:83" ht="15" outlineLevel="1" x14ac:dyDescent="0.2">
      <c r="B176" s="18">
        <f t="shared" si="69"/>
        <v>44305</v>
      </c>
      <c r="C176" s="17" t="s">
        <v>1</v>
      </c>
      <c r="D176" s="19">
        <f t="shared" si="70"/>
        <v>44311</v>
      </c>
      <c r="E176" s="20">
        <f t="shared" si="71"/>
        <v>4</v>
      </c>
      <c r="F176" s="21">
        <f t="shared" si="72"/>
        <v>2021</v>
      </c>
      <c r="G176" s="11">
        <f t="shared" si="97"/>
        <v>22</v>
      </c>
      <c r="H176" s="10">
        <f t="shared" si="97"/>
        <v>66</v>
      </c>
      <c r="I176" s="11"/>
      <c r="J176" s="11"/>
      <c r="K176" s="11"/>
      <c r="L176" s="11"/>
      <c r="M176" s="11"/>
      <c r="N176" s="11"/>
      <c r="O176" s="14"/>
      <c r="P176" s="14"/>
      <c r="Q176" s="14"/>
      <c r="R176" s="14"/>
      <c r="S176" s="14"/>
      <c r="T176" s="14"/>
      <c r="V176" s="22">
        <f t="shared" si="96"/>
        <v>1</v>
      </c>
      <c r="W176" s="22">
        <f t="shared" si="96"/>
        <v>0</v>
      </c>
      <c r="X176" s="22">
        <f t="shared" si="96"/>
        <v>0</v>
      </c>
      <c r="Y176" s="22">
        <f t="shared" si="96"/>
        <v>0</v>
      </c>
      <c r="Z176" s="22">
        <f t="shared" si="96"/>
        <v>0</v>
      </c>
      <c r="AA176" s="22">
        <f t="shared" si="96"/>
        <v>0</v>
      </c>
      <c r="AB176" s="1"/>
      <c r="AC176" s="5">
        <f t="shared" si="78"/>
        <v>52</v>
      </c>
      <c r="AD176" s="5">
        <f t="shared" si="79"/>
        <v>47</v>
      </c>
      <c r="AE176" s="5">
        <f t="shared" si="80"/>
        <v>28</v>
      </c>
      <c r="AF176" s="5">
        <f t="shared" si="81"/>
        <v>0</v>
      </c>
      <c r="AG176" s="5">
        <f t="shared" si="82"/>
        <v>0</v>
      </c>
      <c r="AH176" s="5">
        <f t="shared" si="83"/>
        <v>0</v>
      </c>
      <c r="AI176" s="5">
        <f t="shared" si="84"/>
        <v>0</v>
      </c>
      <c r="AJ176" s="5">
        <f t="shared" si="85"/>
        <v>0</v>
      </c>
      <c r="AK176" s="5">
        <f t="shared" si="86"/>
        <v>0</v>
      </c>
      <c r="AL176" s="5">
        <f t="shared" si="87"/>
        <v>0</v>
      </c>
      <c r="AM176" s="5">
        <f t="shared" si="88"/>
        <v>0</v>
      </c>
      <c r="AN176" s="5">
        <f t="shared" si="89"/>
        <v>0</v>
      </c>
      <c r="AO176" s="5">
        <f t="shared" si="90"/>
        <v>0</v>
      </c>
      <c r="AP176" s="5">
        <f t="shared" si="91"/>
        <v>0</v>
      </c>
      <c r="AQ176" s="5">
        <f t="shared" si="92"/>
        <v>0</v>
      </c>
      <c r="AR176" s="5">
        <f t="shared" si="93"/>
        <v>0</v>
      </c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M176" s="40">
        <f>IF(OR(V175=4,V175=8,V175=12,V175=16,V175=20),$CA$1,0)</f>
        <v>0</v>
      </c>
      <c r="BN176" s="40">
        <f>IF(OR(W175=4,W175=8,W175=12,W175=16,W175=20),$CA$1,0)</f>
        <v>0</v>
      </c>
      <c r="BO176" s="40">
        <f>IF(OR(X175=4,X175=8,X175=12,X175=16,X175=20),$CA$1,0)</f>
        <v>0</v>
      </c>
      <c r="BP176" s="40">
        <f>IF(OR(Y175=4,Y175=8,Y175=12,Y175=16,Y175=20),$CA$1,0)</f>
        <v>0</v>
      </c>
      <c r="BQ176" s="40">
        <f>IF(OR(Z175=4,Z175=8,Z175=12,Z175=16,Z175=20),$CA$1,0)</f>
        <v>0</v>
      </c>
      <c r="BR176" s="40">
        <f>IF(OR(AA175=4,AA175=8,AA175=12,AA175=16,AA175=20),$CA$1,0)</f>
        <v>0</v>
      </c>
      <c r="BS176" s="40">
        <f>IF(V172=20,$CB$1,0)</f>
        <v>0</v>
      </c>
      <c r="BT176" s="40">
        <f>IF(W172=20,$CB$1,0)</f>
        <v>0</v>
      </c>
      <c r="BU176" s="40">
        <f>IF(X172=20,$CB$1,0)</f>
        <v>0</v>
      </c>
      <c r="BV176" s="40">
        <f>IF(Y172=20,$CB$1,0)</f>
        <v>0</v>
      </c>
      <c r="BW176" s="40">
        <f>IF(Z172=20,$CB$1,0)</f>
        <v>0</v>
      </c>
      <c r="BX176" s="40">
        <f>IF(AA172=20,$CB$1,0)</f>
        <v>0</v>
      </c>
      <c r="BY176" s="41">
        <f t="shared" si="94"/>
        <v>0</v>
      </c>
      <c r="BZ176" s="41">
        <f t="shared" si="95"/>
        <v>0</v>
      </c>
      <c r="CA176" s="58">
        <f t="shared" si="98"/>
        <v>44305</v>
      </c>
      <c r="CB176" s="47">
        <f>IF(E176=E177,0,BZ176)</f>
        <v>0</v>
      </c>
      <c r="CD176" s="48"/>
      <c r="CE176" s="49">
        <f>SUM(CE164:CE175)</f>
        <v>2594980.1583333332</v>
      </c>
    </row>
    <row r="177" spans="2:80" ht="15" outlineLevel="1" x14ac:dyDescent="0.2">
      <c r="B177" s="18">
        <f t="shared" si="69"/>
        <v>44312</v>
      </c>
      <c r="C177" s="17" t="s">
        <v>1</v>
      </c>
      <c r="D177" s="19">
        <f t="shared" si="70"/>
        <v>44318</v>
      </c>
      <c r="E177" s="20">
        <f t="shared" si="71"/>
        <v>4</v>
      </c>
      <c r="F177" s="21">
        <f t="shared" si="72"/>
        <v>2021</v>
      </c>
      <c r="G177" s="11">
        <f t="shared" si="97"/>
        <v>22</v>
      </c>
      <c r="H177" s="10">
        <f t="shared" si="97"/>
        <v>66</v>
      </c>
      <c r="I177" s="11"/>
      <c r="J177" s="11"/>
      <c r="K177" s="11"/>
      <c r="L177" s="11"/>
      <c r="M177" s="11"/>
      <c r="N177" s="11"/>
      <c r="O177" s="14"/>
      <c r="P177" s="14"/>
      <c r="Q177" s="14"/>
      <c r="R177" s="14"/>
      <c r="S177" s="14"/>
      <c r="T177" s="14"/>
      <c r="V177" s="22">
        <f t="shared" si="96"/>
        <v>2</v>
      </c>
      <c r="W177" s="22">
        <f t="shared" si="96"/>
        <v>0</v>
      </c>
      <c r="X177" s="22">
        <f t="shared" si="96"/>
        <v>0</v>
      </c>
      <c r="Y177" s="22">
        <f t="shared" si="96"/>
        <v>0</v>
      </c>
      <c r="Z177" s="22">
        <f t="shared" si="96"/>
        <v>0</v>
      </c>
      <c r="AA177" s="22">
        <f t="shared" si="96"/>
        <v>0</v>
      </c>
      <c r="AB177" s="1"/>
      <c r="AC177" s="5">
        <f t="shared" si="78"/>
        <v>53</v>
      </c>
      <c r="AD177" s="5">
        <f t="shared" si="79"/>
        <v>48</v>
      </c>
      <c r="AE177" s="5">
        <f t="shared" si="80"/>
        <v>29</v>
      </c>
      <c r="AF177" s="5">
        <f t="shared" si="81"/>
        <v>0</v>
      </c>
      <c r="AG177" s="5">
        <f t="shared" si="82"/>
        <v>0</v>
      </c>
      <c r="AH177" s="5">
        <f t="shared" si="83"/>
        <v>0</v>
      </c>
      <c r="AI177" s="5">
        <f t="shared" si="84"/>
        <v>0</v>
      </c>
      <c r="AJ177" s="5">
        <f t="shared" si="85"/>
        <v>0</v>
      </c>
      <c r="AK177" s="5">
        <f t="shared" si="86"/>
        <v>0</v>
      </c>
      <c r="AL177" s="5">
        <f t="shared" si="87"/>
        <v>0</v>
      </c>
      <c r="AM177" s="5">
        <f t="shared" si="88"/>
        <v>0</v>
      </c>
      <c r="AN177" s="5">
        <f t="shared" si="89"/>
        <v>0</v>
      </c>
      <c r="AO177" s="5">
        <f t="shared" si="90"/>
        <v>0</v>
      </c>
      <c r="AP177" s="5">
        <f t="shared" si="91"/>
        <v>0</v>
      </c>
      <c r="AQ177" s="5">
        <f t="shared" si="92"/>
        <v>0</v>
      </c>
      <c r="AR177" s="5">
        <f t="shared" si="93"/>
        <v>0</v>
      </c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M177" s="40">
        <f>IF(OR(V176=4,V176=8,V176=12,V176=16,V176=20),$CA$1,0)</f>
        <v>0</v>
      </c>
      <c r="BN177" s="40">
        <f>IF(OR(W176=4,W176=8,W176=12,W176=16,W176=20),$CA$1,0)</f>
        <v>0</v>
      </c>
      <c r="BO177" s="40">
        <f>IF(OR(X176=4,X176=8,X176=12,X176=16,X176=20),$CA$1,0)</f>
        <v>0</v>
      </c>
      <c r="BP177" s="40">
        <f>IF(OR(Y176=4,Y176=8,Y176=12,Y176=16,Y176=20),$CA$1,0)</f>
        <v>0</v>
      </c>
      <c r="BQ177" s="40">
        <f>IF(OR(Z176=4,Z176=8,Z176=12,Z176=16,Z176=20),$CA$1,0)</f>
        <v>0</v>
      </c>
      <c r="BR177" s="40">
        <f>IF(OR(AA176=4,AA176=8,AA176=12,AA176=16,AA176=20),$CA$1,0)</f>
        <v>0</v>
      </c>
      <c r="BS177" s="40">
        <f>IF(V173=20,$CB$1,0)</f>
        <v>0</v>
      </c>
      <c r="BT177" s="40">
        <f>IF(W173=20,$CB$1,0)</f>
        <v>0</v>
      </c>
      <c r="BU177" s="40">
        <f>IF(X173=20,$CB$1,0)</f>
        <v>0</v>
      </c>
      <c r="BV177" s="40">
        <f>IF(Y173=20,$CB$1,0)</f>
        <v>0</v>
      </c>
      <c r="BW177" s="40">
        <f>IF(Z173=20,$CB$1,0)</f>
        <v>0</v>
      </c>
      <c r="BX177" s="40">
        <f>IF(AA173=20,$CB$1,0)</f>
        <v>0</v>
      </c>
      <c r="BY177" s="41">
        <f t="shared" si="94"/>
        <v>0</v>
      </c>
      <c r="BZ177" s="41">
        <f t="shared" si="95"/>
        <v>0</v>
      </c>
      <c r="CA177" s="58">
        <f t="shared" si="98"/>
        <v>44312</v>
      </c>
      <c r="CB177" s="47">
        <f>IF(E177=E178,0,BZ177)</f>
        <v>0</v>
      </c>
    </row>
    <row r="178" spans="2:80" ht="15" outlineLevel="1" x14ac:dyDescent="0.2">
      <c r="B178" s="18">
        <f t="shared" si="69"/>
        <v>44319</v>
      </c>
      <c r="C178" s="17" t="s">
        <v>1</v>
      </c>
      <c r="D178" s="19">
        <f t="shared" si="70"/>
        <v>44325</v>
      </c>
      <c r="E178" s="20">
        <f t="shared" si="71"/>
        <v>5</v>
      </c>
      <c r="F178" s="21">
        <f t="shared" si="72"/>
        <v>2021</v>
      </c>
      <c r="G178" s="11">
        <f t="shared" si="97"/>
        <v>22</v>
      </c>
      <c r="H178" s="10">
        <f t="shared" si="97"/>
        <v>66</v>
      </c>
      <c r="I178" s="11"/>
      <c r="J178" s="11"/>
      <c r="K178" s="11"/>
      <c r="L178" s="11"/>
      <c r="M178" s="11"/>
      <c r="N178" s="11"/>
      <c r="O178" s="14"/>
      <c r="P178" s="14"/>
      <c r="Q178" s="14"/>
      <c r="R178" s="14"/>
      <c r="S178" s="14"/>
      <c r="T178" s="14"/>
      <c r="V178" s="22">
        <f t="shared" si="96"/>
        <v>3</v>
      </c>
      <c r="W178" s="22">
        <f t="shared" si="96"/>
        <v>0</v>
      </c>
      <c r="X178" s="22">
        <f t="shared" si="96"/>
        <v>0</v>
      </c>
      <c r="Y178" s="22">
        <f t="shared" si="96"/>
        <v>0</v>
      </c>
      <c r="Z178" s="22">
        <f t="shared" si="96"/>
        <v>0</v>
      </c>
      <c r="AA178" s="22">
        <f t="shared" si="96"/>
        <v>0</v>
      </c>
      <c r="AB178" s="1"/>
      <c r="AC178" s="5">
        <f t="shared" si="78"/>
        <v>54</v>
      </c>
      <c r="AD178" s="5">
        <f t="shared" si="79"/>
        <v>49</v>
      </c>
      <c r="AE178" s="5">
        <f t="shared" si="80"/>
        <v>30</v>
      </c>
      <c r="AF178" s="5">
        <f t="shared" si="81"/>
        <v>0</v>
      </c>
      <c r="AG178" s="5">
        <f t="shared" si="82"/>
        <v>0</v>
      </c>
      <c r="AH178" s="5">
        <f t="shared" si="83"/>
        <v>0</v>
      </c>
      <c r="AI178" s="5">
        <f t="shared" si="84"/>
        <v>0</v>
      </c>
      <c r="AJ178" s="5">
        <f t="shared" si="85"/>
        <v>0</v>
      </c>
      <c r="AK178" s="5">
        <f t="shared" si="86"/>
        <v>0</v>
      </c>
      <c r="AL178" s="5">
        <f t="shared" si="87"/>
        <v>0</v>
      </c>
      <c r="AM178" s="5">
        <f t="shared" si="88"/>
        <v>0</v>
      </c>
      <c r="AN178" s="5">
        <f t="shared" si="89"/>
        <v>0</v>
      </c>
      <c r="AO178" s="5">
        <f t="shared" si="90"/>
        <v>0</v>
      </c>
      <c r="AP178" s="5">
        <f t="shared" si="91"/>
        <v>0</v>
      </c>
      <c r="AQ178" s="5">
        <f t="shared" si="92"/>
        <v>0</v>
      </c>
      <c r="AR178" s="5">
        <f t="shared" si="93"/>
        <v>0</v>
      </c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M178" s="40">
        <f>IF(OR(V177=4,V177=8,V177=12,V177=16,V177=20),$CA$1,0)</f>
        <v>0</v>
      </c>
      <c r="BN178" s="40">
        <f>IF(OR(W177=4,W177=8,W177=12,W177=16,W177=20),$CA$1,0)</f>
        <v>0</v>
      </c>
      <c r="BO178" s="40">
        <f>IF(OR(X177=4,X177=8,X177=12,X177=16,X177=20),$CA$1,0)</f>
        <v>0</v>
      </c>
      <c r="BP178" s="40">
        <f>IF(OR(Y177=4,Y177=8,Y177=12,Y177=16,Y177=20),$CA$1,0)</f>
        <v>0</v>
      </c>
      <c r="BQ178" s="40">
        <f>IF(OR(Z177=4,Z177=8,Z177=12,Z177=16,Z177=20),$CA$1,0)</f>
        <v>0</v>
      </c>
      <c r="BR178" s="40">
        <f>IF(OR(AA177=4,AA177=8,AA177=12,AA177=16,AA177=20),$CA$1,0)</f>
        <v>0</v>
      </c>
      <c r="BS178" s="40">
        <f>IF(V174=20,$CB$1,0)</f>
        <v>0</v>
      </c>
      <c r="BT178" s="40">
        <f>IF(W174=20,$CB$1,0)</f>
        <v>0</v>
      </c>
      <c r="BU178" s="40">
        <f>IF(X174=20,$CB$1,0)</f>
        <v>0</v>
      </c>
      <c r="BV178" s="40">
        <f>IF(Y174=20,$CB$1,0)</f>
        <v>0</v>
      </c>
      <c r="BW178" s="40">
        <f>IF(Z174=20,$CB$1,0)</f>
        <v>0</v>
      </c>
      <c r="BX178" s="40">
        <f>IF(AA174=20,$CB$1,0)</f>
        <v>0</v>
      </c>
      <c r="BY178" s="41">
        <f t="shared" si="94"/>
        <v>0</v>
      </c>
      <c r="BZ178" s="41">
        <f t="shared" si="95"/>
        <v>0</v>
      </c>
      <c r="CA178" s="58">
        <f t="shared" si="98"/>
        <v>44319</v>
      </c>
      <c r="CB178" s="47">
        <f>IF(E178=E179,0,BZ178)</f>
        <v>0</v>
      </c>
    </row>
    <row r="179" spans="2:80" ht="15" outlineLevel="1" x14ac:dyDescent="0.2">
      <c r="B179" s="18">
        <f t="shared" si="69"/>
        <v>44326</v>
      </c>
      <c r="C179" s="17" t="s">
        <v>1</v>
      </c>
      <c r="D179" s="19">
        <f t="shared" si="70"/>
        <v>44332</v>
      </c>
      <c r="E179" s="20">
        <f t="shared" si="71"/>
        <v>5</v>
      </c>
      <c r="F179" s="21">
        <f t="shared" si="72"/>
        <v>2021</v>
      </c>
      <c r="G179" s="11">
        <f t="shared" si="97"/>
        <v>22</v>
      </c>
      <c r="H179" s="10">
        <f t="shared" si="97"/>
        <v>66</v>
      </c>
      <c r="I179" s="11"/>
      <c r="J179" s="11"/>
      <c r="K179" s="11"/>
      <c r="L179" s="11"/>
      <c r="M179" s="11"/>
      <c r="N179" s="11"/>
      <c r="O179" s="14"/>
      <c r="P179" s="14"/>
      <c r="Q179" s="14"/>
      <c r="R179" s="14"/>
      <c r="S179" s="14"/>
      <c r="T179" s="14"/>
      <c r="V179" s="22">
        <f t="shared" si="96"/>
        <v>4</v>
      </c>
      <c r="W179" s="22">
        <f t="shared" si="96"/>
        <v>0</v>
      </c>
      <c r="X179" s="22">
        <f t="shared" si="96"/>
        <v>0</v>
      </c>
      <c r="Y179" s="22">
        <f t="shared" si="96"/>
        <v>0</v>
      </c>
      <c r="Z179" s="22">
        <f t="shared" si="96"/>
        <v>0</v>
      </c>
      <c r="AA179" s="22">
        <f t="shared" si="96"/>
        <v>0</v>
      </c>
      <c r="AB179" s="1"/>
      <c r="AC179" s="5">
        <f t="shared" si="78"/>
        <v>55</v>
      </c>
      <c r="AD179" s="5">
        <f t="shared" si="79"/>
        <v>50</v>
      </c>
      <c r="AE179" s="5">
        <f t="shared" si="80"/>
        <v>31</v>
      </c>
      <c r="AF179" s="5">
        <f t="shared" si="81"/>
        <v>0</v>
      </c>
      <c r="AG179" s="5">
        <f t="shared" si="82"/>
        <v>0</v>
      </c>
      <c r="AH179" s="5">
        <f t="shared" si="83"/>
        <v>0</v>
      </c>
      <c r="AI179" s="5">
        <f t="shared" si="84"/>
        <v>0</v>
      </c>
      <c r="AJ179" s="5">
        <f t="shared" si="85"/>
        <v>0</v>
      </c>
      <c r="AK179" s="5">
        <f t="shared" si="86"/>
        <v>0</v>
      </c>
      <c r="AL179" s="5">
        <f t="shared" si="87"/>
        <v>0</v>
      </c>
      <c r="AM179" s="5">
        <f t="shared" si="88"/>
        <v>0</v>
      </c>
      <c r="AN179" s="5">
        <f t="shared" si="89"/>
        <v>0</v>
      </c>
      <c r="AO179" s="5">
        <f t="shared" si="90"/>
        <v>0</v>
      </c>
      <c r="AP179" s="5">
        <f t="shared" si="91"/>
        <v>0</v>
      </c>
      <c r="AQ179" s="5">
        <f t="shared" si="92"/>
        <v>0</v>
      </c>
      <c r="AR179" s="5">
        <f t="shared" si="93"/>
        <v>0</v>
      </c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M179" s="40">
        <f>IF(OR(V178=4,V178=8,V178=12,V178=16,V178=20),$CA$1,0)</f>
        <v>0</v>
      </c>
      <c r="BN179" s="40">
        <f>IF(OR(W178=4,W178=8,W178=12,W178=16,W178=20),$CA$1,0)</f>
        <v>0</v>
      </c>
      <c r="BO179" s="40">
        <f>IF(OR(X178=4,X178=8,X178=12,X178=16,X178=20),$CA$1,0)</f>
        <v>0</v>
      </c>
      <c r="BP179" s="40">
        <f>IF(OR(Y178=4,Y178=8,Y178=12,Y178=16,Y178=20),$CA$1,0)</f>
        <v>0</v>
      </c>
      <c r="BQ179" s="40">
        <f>IF(OR(Z178=4,Z178=8,Z178=12,Z178=16,Z178=20),$CA$1,0)</f>
        <v>0</v>
      </c>
      <c r="BR179" s="40">
        <f>IF(OR(AA178=4,AA178=8,AA178=12,AA178=16,AA178=20),$CA$1,0)</f>
        <v>0</v>
      </c>
      <c r="BS179" s="40">
        <f>IF(V175=20,$CB$1,0)</f>
        <v>0</v>
      </c>
      <c r="BT179" s="40">
        <f>IF(W175=20,$CB$1,0)</f>
        <v>0</v>
      </c>
      <c r="BU179" s="40">
        <f>IF(X175=20,$CB$1,0)</f>
        <v>0</v>
      </c>
      <c r="BV179" s="40">
        <f>IF(Y175=20,$CB$1,0)</f>
        <v>0</v>
      </c>
      <c r="BW179" s="40">
        <f>IF(Z175=20,$CB$1,0)</f>
        <v>0</v>
      </c>
      <c r="BX179" s="40">
        <f>IF(AA175=20,$CB$1,0)</f>
        <v>0</v>
      </c>
      <c r="BY179" s="41">
        <f t="shared" si="94"/>
        <v>0</v>
      </c>
      <c r="BZ179" s="41">
        <f t="shared" si="95"/>
        <v>0</v>
      </c>
      <c r="CA179" s="58">
        <f t="shared" si="98"/>
        <v>44326</v>
      </c>
      <c r="CB179" s="47">
        <f>IF(E179=E180,0,BZ179)</f>
        <v>0</v>
      </c>
    </row>
    <row r="180" spans="2:80" ht="15" outlineLevel="1" x14ac:dyDescent="0.2">
      <c r="B180" s="18">
        <f t="shared" si="69"/>
        <v>44333</v>
      </c>
      <c r="C180" s="17" t="s">
        <v>1</v>
      </c>
      <c r="D180" s="19">
        <f t="shared" si="70"/>
        <v>44339</v>
      </c>
      <c r="E180" s="20">
        <f t="shared" si="71"/>
        <v>5</v>
      </c>
      <c r="F180" s="21">
        <f t="shared" si="72"/>
        <v>2021</v>
      </c>
      <c r="G180" s="11">
        <f t="shared" si="97"/>
        <v>22</v>
      </c>
      <c r="H180" s="10">
        <f t="shared" si="97"/>
        <v>66</v>
      </c>
      <c r="I180" s="11"/>
      <c r="J180" s="11"/>
      <c r="K180" s="11"/>
      <c r="L180" s="11"/>
      <c r="M180" s="11"/>
      <c r="N180" s="11"/>
      <c r="O180" s="14"/>
      <c r="P180" s="14"/>
      <c r="Q180" s="14"/>
      <c r="R180" s="14"/>
      <c r="S180" s="14"/>
      <c r="T180" s="14"/>
      <c r="V180" s="22">
        <f t="shared" ref="V180:AA195" si="99">IF(I180&gt;0,I180,IF(O180=1,$B180+2,IF(O179=1,1,IF(O179=2,0,IF(V179=$G179,0,(IF(V179&gt;=1,V179+1,0)))))))</f>
        <v>5</v>
      </c>
      <c r="W180" s="22">
        <f t="shared" si="99"/>
        <v>0</v>
      </c>
      <c r="X180" s="22">
        <f t="shared" si="99"/>
        <v>0</v>
      </c>
      <c r="Y180" s="22">
        <f t="shared" si="99"/>
        <v>0</v>
      </c>
      <c r="Z180" s="22">
        <f t="shared" si="99"/>
        <v>0</v>
      </c>
      <c r="AA180" s="22">
        <f t="shared" si="99"/>
        <v>0</v>
      </c>
      <c r="AB180" s="1"/>
      <c r="AC180" s="5">
        <f t="shared" si="78"/>
        <v>56</v>
      </c>
      <c r="AD180" s="5">
        <f t="shared" si="79"/>
        <v>51</v>
      </c>
      <c r="AE180" s="5">
        <f t="shared" si="80"/>
        <v>32</v>
      </c>
      <c r="AF180" s="5">
        <f t="shared" si="81"/>
        <v>0</v>
      </c>
      <c r="AG180" s="5">
        <f t="shared" si="82"/>
        <v>0</v>
      </c>
      <c r="AH180" s="5">
        <f t="shared" si="83"/>
        <v>0</v>
      </c>
      <c r="AI180" s="5">
        <f t="shared" si="84"/>
        <v>0</v>
      </c>
      <c r="AJ180" s="5">
        <f t="shared" si="85"/>
        <v>0</v>
      </c>
      <c r="AK180" s="5">
        <f t="shared" si="86"/>
        <v>0</v>
      </c>
      <c r="AL180" s="5">
        <f t="shared" si="87"/>
        <v>0</v>
      </c>
      <c r="AM180" s="5">
        <f t="shared" si="88"/>
        <v>0</v>
      </c>
      <c r="AN180" s="5">
        <f t="shared" si="89"/>
        <v>0</v>
      </c>
      <c r="AO180" s="5">
        <f t="shared" si="90"/>
        <v>0</v>
      </c>
      <c r="AP180" s="5">
        <f t="shared" si="91"/>
        <v>0</v>
      </c>
      <c r="AQ180" s="5">
        <f t="shared" si="92"/>
        <v>0</v>
      </c>
      <c r="AR180" s="5">
        <f t="shared" si="93"/>
        <v>0</v>
      </c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M180" s="40">
        <f>IF(OR(V179=4,V179=8,V179=12,V179=16,V179=20),$CA$1,0)</f>
        <v>161491.14583333334</v>
      </c>
      <c r="BN180" s="40">
        <f>IF(OR(W179=4,W179=8,W179=12,W179=16,W179=20),$CA$1,0)</f>
        <v>0</v>
      </c>
      <c r="BO180" s="40">
        <f>IF(OR(X179=4,X179=8,X179=12,X179=16,X179=20),$CA$1,0)</f>
        <v>0</v>
      </c>
      <c r="BP180" s="40">
        <f>IF(OR(Y179=4,Y179=8,Y179=12,Y179=16,Y179=20),$CA$1,0)</f>
        <v>0</v>
      </c>
      <c r="BQ180" s="40">
        <f>IF(OR(Z179=4,Z179=8,Z179=12,Z179=16,Z179=20),$CA$1,0)</f>
        <v>0</v>
      </c>
      <c r="BR180" s="40">
        <f>IF(OR(AA179=4,AA179=8,AA179=12,AA179=16,AA179=20),$CA$1,0)</f>
        <v>0</v>
      </c>
      <c r="BS180" s="40">
        <f>IF(V176=20,$CB$1,0)</f>
        <v>0</v>
      </c>
      <c r="BT180" s="40">
        <f>IF(W176=20,$CB$1,0)</f>
        <v>0</v>
      </c>
      <c r="BU180" s="40">
        <f>IF(X176=20,$CB$1,0)</f>
        <v>0</v>
      </c>
      <c r="BV180" s="40">
        <f>IF(Y176=20,$CB$1,0)</f>
        <v>0</v>
      </c>
      <c r="BW180" s="40">
        <f>IF(Z176=20,$CB$1,0)</f>
        <v>0</v>
      </c>
      <c r="BX180" s="40">
        <f>IF(AA176=20,$CB$1,0)</f>
        <v>0</v>
      </c>
      <c r="BY180" s="41">
        <f t="shared" si="94"/>
        <v>161491.14583333334</v>
      </c>
      <c r="BZ180" s="41">
        <f t="shared" si="95"/>
        <v>161491.14583333334</v>
      </c>
      <c r="CA180" s="58">
        <f t="shared" si="98"/>
        <v>44333</v>
      </c>
      <c r="CB180" s="47">
        <f>IF(E180=E181,0,BZ180)</f>
        <v>0</v>
      </c>
    </row>
    <row r="181" spans="2:80" ht="15" outlineLevel="1" x14ac:dyDescent="0.2">
      <c r="B181" s="18">
        <f t="shared" si="69"/>
        <v>44340</v>
      </c>
      <c r="C181" s="17" t="s">
        <v>1</v>
      </c>
      <c r="D181" s="19">
        <f t="shared" si="70"/>
        <v>44346</v>
      </c>
      <c r="E181" s="20">
        <f t="shared" si="71"/>
        <v>5</v>
      </c>
      <c r="F181" s="21">
        <f t="shared" si="72"/>
        <v>2021</v>
      </c>
      <c r="G181" s="11">
        <f t="shared" si="97"/>
        <v>22</v>
      </c>
      <c r="H181" s="10">
        <f t="shared" si="97"/>
        <v>66</v>
      </c>
      <c r="I181" s="11"/>
      <c r="J181" s="11"/>
      <c r="K181" s="11"/>
      <c r="L181" s="11"/>
      <c r="M181" s="11"/>
      <c r="N181" s="11"/>
      <c r="O181" s="14"/>
      <c r="P181" s="14"/>
      <c r="Q181" s="14"/>
      <c r="R181" s="14"/>
      <c r="S181" s="14"/>
      <c r="T181" s="14"/>
      <c r="V181" s="22">
        <f t="shared" si="99"/>
        <v>6</v>
      </c>
      <c r="W181" s="22">
        <f t="shared" si="99"/>
        <v>0</v>
      </c>
      <c r="X181" s="22">
        <f t="shared" si="99"/>
        <v>0</v>
      </c>
      <c r="Y181" s="22">
        <f t="shared" si="99"/>
        <v>0</v>
      </c>
      <c r="Z181" s="22">
        <f t="shared" si="99"/>
        <v>0</v>
      </c>
      <c r="AA181" s="22">
        <f t="shared" si="99"/>
        <v>0</v>
      </c>
      <c r="AB181" s="1"/>
      <c r="AC181" s="5">
        <f t="shared" si="78"/>
        <v>57</v>
      </c>
      <c r="AD181" s="5">
        <f t="shared" si="79"/>
        <v>52</v>
      </c>
      <c r="AE181" s="5">
        <f t="shared" si="80"/>
        <v>33</v>
      </c>
      <c r="AF181" s="5">
        <f t="shared" si="81"/>
        <v>0</v>
      </c>
      <c r="AG181" s="5">
        <f t="shared" si="82"/>
        <v>0</v>
      </c>
      <c r="AH181" s="5">
        <f t="shared" si="83"/>
        <v>0</v>
      </c>
      <c r="AI181" s="5">
        <f t="shared" si="84"/>
        <v>0</v>
      </c>
      <c r="AJ181" s="5">
        <f t="shared" si="85"/>
        <v>0</v>
      </c>
      <c r="AK181" s="5">
        <f t="shared" si="86"/>
        <v>0</v>
      </c>
      <c r="AL181" s="5">
        <f t="shared" si="87"/>
        <v>0</v>
      </c>
      <c r="AM181" s="5">
        <f t="shared" si="88"/>
        <v>0</v>
      </c>
      <c r="AN181" s="5">
        <f t="shared" si="89"/>
        <v>0</v>
      </c>
      <c r="AO181" s="5">
        <f t="shared" si="90"/>
        <v>0</v>
      </c>
      <c r="AP181" s="5">
        <f t="shared" si="91"/>
        <v>0</v>
      </c>
      <c r="AQ181" s="5">
        <f t="shared" si="92"/>
        <v>0</v>
      </c>
      <c r="AR181" s="5">
        <f t="shared" si="93"/>
        <v>0</v>
      </c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M181" s="40">
        <f>IF(OR(V180=4,V180=8,V180=12,V180=16,V180=20),$CA$1,0)</f>
        <v>0</v>
      </c>
      <c r="BN181" s="40">
        <f>IF(OR(W180=4,W180=8,W180=12,W180=16,W180=20),$CA$1,0)</f>
        <v>0</v>
      </c>
      <c r="BO181" s="40">
        <f>IF(OR(X180=4,X180=8,X180=12,X180=16,X180=20),$CA$1,0)</f>
        <v>0</v>
      </c>
      <c r="BP181" s="40">
        <f>IF(OR(Y180=4,Y180=8,Y180=12,Y180=16,Y180=20),$CA$1,0)</f>
        <v>0</v>
      </c>
      <c r="BQ181" s="40">
        <f>IF(OR(Z180=4,Z180=8,Z180=12,Z180=16,Z180=20),$CA$1,0)</f>
        <v>0</v>
      </c>
      <c r="BR181" s="40">
        <f>IF(OR(AA180=4,AA180=8,AA180=12,AA180=16,AA180=20),$CA$1,0)</f>
        <v>0</v>
      </c>
      <c r="BS181" s="40">
        <f>IF(V177=20,$CB$1,0)</f>
        <v>0</v>
      </c>
      <c r="BT181" s="40">
        <f>IF(W177=20,$CB$1,0)</f>
        <v>0</v>
      </c>
      <c r="BU181" s="40">
        <f>IF(X177=20,$CB$1,0)</f>
        <v>0</v>
      </c>
      <c r="BV181" s="40">
        <f>IF(Y177=20,$CB$1,0)</f>
        <v>0</v>
      </c>
      <c r="BW181" s="40">
        <f>IF(Z177=20,$CB$1,0)</f>
        <v>0</v>
      </c>
      <c r="BX181" s="40">
        <f>IF(AA177=20,$CB$1,0)</f>
        <v>0</v>
      </c>
      <c r="BY181" s="41">
        <f t="shared" si="94"/>
        <v>0</v>
      </c>
      <c r="BZ181" s="41">
        <f t="shared" si="95"/>
        <v>161491.14583333334</v>
      </c>
      <c r="CA181" s="58">
        <f t="shared" si="98"/>
        <v>44340</v>
      </c>
      <c r="CB181" s="47">
        <f>IF(E181=E182,0,BZ181)</f>
        <v>0</v>
      </c>
    </row>
    <row r="182" spans="2:80" ht="15" outlineLevel="1" x14ac:dyDescent="0.2">
      <c r="B182" s="18">
        <f t="shared" si="69"/>
        <v>44347</v>
      </c>
      <c r="C182" s="17" t="s">
        <v>1</v>
      </c>
      <c r="D182" s="19">
        <f t="shared" si="70"/>
        <v>44353</v>
      </c>
      <c r="E182" s="20">
        <f t="shared" si="71"/>
        <v>5</v>
      </c>
      <c r="F182" s="21">
        <f t="shared" si="72"/>
        <v>2021</v>
      </c>
      <c r="G182" s="11">
        <f t="shared" ref="G182:H197" si="100">G181</f>
        <v>22</v>
      </c>
      <c r="H182" s="10">
        <f t="shared" si="100"/>
        <v>66</v>
      </c>
      <c r="I182" s="11"/>
      <c r="J182" s="11"/>
      <c r="K182" s="11"/>
      <c r="L182" s="11"/>
      <c r="M182" s="11"/>
      <c r="N182" s="11"/>
      <c r="O182" s="14"/>
      <c r="P182" s="14"/>
      <c r="Q182" s="14"/>
      <c r="R182" s="14"/>
      <c r="S182" s="14"/>
      <c r="T182" s="14"/>
      <c r="V182" s="22">
        <f t="shared" si="99"/>
        <v>7</v>
      </c>
      <c r="W182" s="22">
        <f t="shared" si="99"/>
        <v>0</v>
      </c>
      <c r="X182" s="22">
        <f t="shared" si="99"/>
        <v>0</v>
      </c>
      <c r="Y182" s="22">
        <f t="shared" si="99"/>
        <v>0</v>
      </c>
      <c r="Z182" s="22">
        <f t="shared" si="99"/>
        <v>0</v>
      </c>
      <c r="AA182" s="22">
        <f t="shared" si="99"/>
        <v>0</v>
      </c>
      <c r="AB182" s="1"/>
      <c r="AC182" s="5">
        <f t="shared" si="78"/>
        <v>58</v>
      </c>
      <c r="AD182" s="5">
        <f t="shared" si="79"/>
        <v>53</v>
      </c>
      <c r="AE182" s="5">
        <f t="shared" si="80"/>
        <v>34</v>
      </c>
      <c r="AF182" s="5">
        <f t="shared" si="81"/>
        <v>0</v>
      </c>
      <c r="AG182" s="5">
        <f t="shared" si="82"/>
        <v>0</v>
      </c>
      <c r="AH182" s="5">
        <f t="shared" si="83"/>
        <v>0</v>
      </c>
      <c r="AI182" s="5">
        <f t="shared" si="84"/>
        <v>0</v>
      </c>
      <c r="AJ182" s="5">
        <f t="shared" si="85"/>
        <v>0</v>
      </c>
      <c r="AK182" s="5">
        <f t="shared" si="86"/>
        <v>0</v>
      </c>
      <c r="AL182" s="5">
        <f t="shared" si="87"/>
        <v>0</v>
      </c>
      <c r="AM182" s="5">
        <f t="shared" si="88"/>
        <v>0</v>
      </c>
      <c r="AN182" s="5">
        <f t="shared" si="89"/>
        <v>0</v>
      </c>
      <c r="AO182" s="5">
        <f t="shared" si="90"/>
        <v>0</v>
      </c>
      <c r="AP182" s="5">
        <f t="shared" si="91"/>
        <v>0</v>
      </c>
      <c r="AQ182" s="5">
        <f t="shared" si="92"/>
        <v>0</v>
      </c>
      <c r="AR182" s="5">
        <f t="shared" si="93"/>
        <v>0</v>
      </c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M182" s="40">
        <f>IF(OR(V181=4,V181=8,V181=12,V181=16,V181=20),$CA$1,0)</f>
        <v>0</v>
      </c>
      <c r="BN182" s="40">
        <f>IF(OR(W181=4,W181=8,W181=12,W181=16,W181=20),$CA$1,0)</f>
        <v>0</v>
      </c>
      <c r="BO182" s="40">
        <f>IF(OR(X181=4,X181=8,X181=12,X181=16,X181=20),$CA$1,0)</f>
        <v>0</v>
      </c>
      <c r="BP182" s="40">
        <f>IF(OR(Y181=4,Y181=8,Y181=12,Y181=16,Y181=20),$CA$1,0)</f>
        <v>0</v>
      </c>
      <c r="BQ182" s="40">
        <f>IF(OR(Z181=4,Z181=8,Z181=12,Z181=16,Z181=20),$CA$1,0)</f>
        <v>0</v>
      </c>
      <c r="BR182" s="40">
        <f>IF(OR(AA181=4,AA181=8,AA181=12,AA181=16,AA181=20),$CA$1,0)</f>
        <v>0</v>
      </c>
      <c r="BS182" s="40">
        <f>IF(V178=20,$CB$1,0)</f>
        <v>0</v>
      </c>
      <c r="BT182" s="40">
        <f>IF(W178=20,$CB$1,0)</f>
        <v>0</v>
      </c>
      <c r="BU182" s="40">
        <f>IF(X178=20,$CB$1,0)</f>
        <v>0</v>
      </c>
      <c r="BV182" s="40">
        <f>IF(Y178=20,$CB$1,0)</f>
        <v>0</v>
      </c>
      <c r="BW182" s="40">
        <f>IF(Z178=20,$CB$1,0)</f>
        <v>0</v>
      </c>
      <c r="BX182" s="40">
        <f>IF(AA178=20,$CB$1,0)</f>
        <v>0</v>
      </c>
      <c r="BY182" s="41">
        <f t="shared" si="94"/>
        <v>0</v>
      </c>
      <c r="BZ182" s="41">
        <f t="shared" si="95"/>
        <v>161491.14583333334</v>
      </c>
      <c r="CA182" s="58">
        <f t="shared" si="98"/>
        <v>44347</v>
      </c>
      <c r="CB182" s="47">
        <f>IF(E182=E183,0,BZ182)</f>
        <v>161491.14583333334</v>
      </c>
    </row>
    <row r="183" spans="2:80" ht="15" outlineLevel="1" x14ac:dyDescent="0.2">
      <c r="B183" s="18">
        <f t="shared" si="69"/>
        <v>44354</v>
      </c>
      <c r="C183" s="17" t="s">
        <v>1</v>
      </c>
      <c r="D183" s="19">
        <f t="shared" si="70"/>
        <v>44360</v>
      </c>
      <c r="E183" s="20">
        <f t="shared" si="71"/>
        <v>6</v>
      </c>
      <c r="F183" s="21">
        <f t="shared" si="72"/>
        <v>2021</v>
      </c>
      <c r="G183" s="11">
        <f t="shared" si="100"/>
        <v>22</v>
      </c>
      <c r="H183" s="10">
        <f t="shared" si="100"/>
        <v>66</v>
      </c>
      <c r="I183" s="11"/>
      <c r="J183" s="11"/>
      <c r="K183" s="11"/>
      <c r="L183" s="11"/>
      <c r="M183" s="11"/>
      <c r="N183" s="11"/>
      <c r="O183" s="14"/>
      <c r="P183" s="14"/>
      <c r="Q183" s="14"/>
      <c r="R183" s="14"/>
      <c r="S183" s="14"/>
      <c r="T183" s="14"/>
      <c r="V183" s="22">
        <f t="shared" si="99"/>
        <v>8</v>
      </c>
      <c r="W183" s="22">
        <f t="shared" si="99"/>
        <v>0</v>
      </c>
      <c r="X183" s="22">
        <f t="shared" si="99"/>
        <v>0</v>
      </c>
      <c r="Y183" s="22">
        <f t="shared" si="99"/>
        <v>0</v>
      </c>
      <c r="Z183" s="22">
        <f t="shared" si="99"/>
        <v>0</v>
      </c>
      <c r="AA183" s="22">
        <f t="shared" si="99"/>
        <v>0</v>
      </c>
      <c r="AB183" s="1"/>
      <c r="AC183" s="5">
        <f t="shared" si="78"/>
        <v>59</v>
      </c>
      <c r="AD183" s="5">
        <f t="shared" si="79"/>
        <v>54</v>
      </c>
      <c r="AE183" s="5">
        <f t="shared" si="80"/>
        <v>35</v>
      </c>
      <c r="AF183" s="5">
        <f t="shared" si="81"/>
        <v>0</v>
      </c>
      <c r="AG183" s="5">
        <f t="shared" si="82"/>
        <v>0</v>
      </c>
      <c r="AH183" s="5">
        <f t="shared" si="83"/>
        <v>0</v>
      </c>
      <c r="AI183" s="5">
        <f t="shared" si="84"/>
        <v>0</v>
      </c>
      <c r="AJ183" s="5">
        <f t="shared" si="85"/>
        <v>0</v>
      </c>
      <c r="AK183" s="5">
        <f t="shared" si="86"/>
        <v>0</v>
      </c>
      <c r="AL183" s="5">
        <f t="shared" si="87"/>
        <v>0</v>
      </c>
      <c r="AM183" s="5">
        <f t="shared" si="88"/>
        <v>0</v>
      </c>
      <c r="AN183" s="5">
        <f t="shared" si="89"/>
        <v>0</v>
      </c>
      <c r="AO183" s="5">
        <f t="shared" si="90"/>
        <v>0</v>
      </c>
      <c r="AP183" s="5">
        <f t="shared" si="91"/>
        <v>0</v>
      </c>
      <c r="AQ183" s="5">
        <f t="shared" si="92"/>
        <v>0</v>
      </c>
      <c r="AR183" s="5">
        <f t="shared" si="93"/>
        <v>0</v>
      </c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M183" s="40">
        <f>IF(OR(V182=4,V182=8,V182=12,V182=16,V182=20),$CA$1,0)</f>
        <v>0</v>
      </c>
      <c r="BN183" s="40">
        <f>IF(OR(W182=4,W182=8,W182=12,W182=16,W182=20),$CA$1,0)</f>
        <v>0</v>
      </c>
      <c r="BO183" s="40">
        <f>IF(OR(X182=4,X182=8,X182=12,X182=16,X182=20),$CA$1,0)</f>
        <v>0</v>
      </c>
      <c r="BP183" s="40">
        <f>IF(OR(Y182=4,Y182=8,Y182=12,Y182=16,Y182=20),$CA$1,0)</f>
        <v>0</v>
      </c>
      <c r="BQ183" s="40">
        <f>IF(OR(Z182=4,Z182=8,Z182=12,Z182=16,Z182=20),$CA$1,0)</f>
        <v>0</v>
      </c>
      <c r="BR183" s="40">
        <f>IF(OR(AA182=4,AA182=8,AA182=12,AA182=16,AA182=20),$CA$1,0)</f>
        <v>0</v>
      </c>
      <c r="BS183" s="40">
        <f>IF(V179=20,$CB$1,0)</f>
        <v>0</v>
      </c>
      <c r="BT183" s="40">
        <f>IF(W179=20,$CB$1,0)</f>
        <v>0</v>
      </c>
      <c r="BU183" s="40">
        <f>IF(X179=20,$CB$1,0)</f>
        <v>0</v>
      </c>
      <c r="BV183" s="40">
        <f>IF(Y179=20,$CB$1,0)</f>
        <v>0</v>
      </c>
      <c r="BW183" s="40">
        <f>IF(Z179=20,$CB$1,0)</f>
        <v>0</v>
      </c>
      <c r="BX183" s="40">
        <f>IF(AA179=20,$CB$1,0)</f>
        <v>0</v>
      </c>
      <c r="BY183" s="41">
        <f t="shared" si="94"/>
        <v>0</v>
      </c>
      <c r="BZ183" s="41">
        <f t="shared" si="95"/>
        <v>0</v>
      </c>
      <c r="CA183" s="58">
        <f t="shared" si="98"/>
        <v>44354</v>
      </c>
      <c r="CB183" s="47">
        <f>IF(E183=E184,0,BZ183)</f>
        <v>0</v>
      </c>
    </row>
    <row r="184" spans="2:80" ht="15" outlineLevel="1" x14ac:dyDescent="0.2">
      <c r="B184" s="18">
        <f t="shared" si="69"/>
        <v>44361</v>
      </c>
      <c r="C184" s="17" t="s">
        <v>1</v>
      </c>
      <c r="D184" s="19">
        <f t="shared" si="70"/>
        <v>44367</v>
      </c>
      <c r="E184" s="20">
        <f t="shared" si="71"/>
        <v>6</v>
      </c>
      <c r="F184" s="21">
        <f t="shared" si="72"/>
        <v>2021</v>
      </c>
      <c r="G184" s="11">
        <f t="shared" si="100"/>
        <v>22</v>
      </c>
      <c r="H184" s="10">
        <f t="shared" si="100"/>
        <v>66</v>
      </c>
      <c r="I184" s="11"/>
      <c r="J184" s="11"/>
      <c r="K184" s="11"/>
      <c r="L184" s="11"/>
      <c r="M184" s="11"/>
      <c r="N184" s="11"/>
      <c r="O184" s="14"/>
      <c r="P184" s="14"/>
      <c r="Q184" s="14"/>
      <c r="R184" s="14"/>
      <c r="S184" s="14"/>
      <c r="T184" s="14"/>
      <c r="V184" s="22">
        <f t="shared" si="99"/>
        <v>9</v>
      </c>
      <c r="W184" s="22">
        <f t="shared" si="99"/>
        <v>0</v>
      </c>
      <c r="X184" s="22">
        <f t="shared" si="99"/>
        <v>0</v>
      </c>
      <c r="Y184" s="22">
        <f t="shared" si="99"/>
        <v>0</v>
      </c>
      <c r="Z184" s="22">
        <f t="shared" si="99"/>
        <v>0</v>
      </c>
      <c r="AA184" s="22">
        <f t="shared" si="99"/>
        <v>0</v>
      </c>
      <c r="AB184" s="1"/>
      <c r="AC184" s="5">
        <f t="shared" si="78"/>
        <v>60</v>
      </c>
      <c r="AD184" s="5">
        <f t="shared" si="79"/>
        <v>55</v>
      </c>
      <c r="AE184" s="5">
        <f t="shared" si="80"/>
        <v>36</v>
      </c>
      <c r="AF184" s="5">
        <f t="shared" si="81"/>
        <v>0</v>
      </c>
      <c r="AG184" s="5">
        <f t="shared" si="82"/>
        <v>0</v>
      </c>
      <c r="AH184" s="5">
        <f t="shared" si="83"/>
        <v>0</v>
      </c>
      <c r="AI184" s="5">
        <f t="shared" si="84"/>
        <v>0</v>
      </c>
      <c r="AJ184" s="5">
        <f t="shared" si="85"/>
        <v>0</v>
      </c>
      <c r="AK184" s="5">
        <f t="shared" si="86"/>
        <v>0</v>
      </c>
      <c r="AL184" s="5">
        <f t="shared" si="87"/>
        <v>0</v>
      </c>
      <c r="AM184" s="5">
        <f t="shared" si="88"/>
        <v>0</v>
      </c>
      <c r="AN184" s="5">
        <f t="shared" si="89"/>
        <v>0</v>
      </c>
      <c r="AO184" s="5">
        <f t="shared" si="90"/>
        <v>0</v>
      </c>
      <c r="AP184" s="5">
        <f t="shared" si="91"/>
        <v>0</v>
      </c>
      <c r="AQ184" s="5">
        <f t="shared" si="92"/>
        <v>0</v>
      </c>
      <c r="AR184" s="5">
        <f t="shared" si="93"/>
        <v>0</v>
      </c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M184" s="40">
        <f>IF(OR(V183=4,V183=8,V183=12,V183=16,V183=20),$CA$1,0)</f>
        <v>161491.14583333334</v>
      </c>
      <c r="BN184" s="40">
        <f>IF(OR(W183=4,W183=8,W183=12,W183=16,W183=20),$CA$1,0)</f>
        <v>0</v>
      </c>
      <c r="BO184" s="40">
        <f>IF(OR(X183=4,X183=8,X183=12,X183=16,X183=20),$CA$1,0)</f>
        <v>0</v>
      </c>
      <c r="BP184" s="40">
        <f>IF(OR(Y183=4,Y183=8,Y183=12,Y183=16,Y183=20),$CA$1,0)</f>
        <v>0</v>
      </c>
      <c r="BQ184" s="40">
        <f>IF(OR(Z183=4,Z183=8,Z183=12,Z183=16,Z183=20),$CA$1,0)</f>
        <v>0</v>
      </c>
      <c r="BR184" s="40">
        <f>IF(OR(AA183=4,AA183=8,AA183=12,AA183=16,AA183=20),$CA$1,0)</f>
        <v>0</v>
      </c>
      <c r="BS184" s="40">
        <f>IF(V180=20,$CB$1,0)</f>
        <v>0</v>
      </c>
      <c r="BT184" s="40">
        <f>IF(W180=20,$CB$1,0)</f>
        <v>0</v>
      </c>
      <c r="BU184" s="40">
        <f>IF(X180=20,$CB$1,0)</f>
        <v>0</v>
      </c>
      <c r="BV184" s="40">
        <f>IF(Y180=20,$CB$1,0)</f>
        <v>0</v>
      </c>
      <c r="BW184" s="40">
        <f>IF(Z180=20,$CB$1,0)</f>
        <v>0</v>
      </c>
      <c r="BX184" s="40">
        <f>IF(AA180=20,$CB$1,0)</f>
        <v>0</v>
      </c>
      <c r="BY184" s="41">
        <f t="shared" si="94"/>
        <v>161491.14583333334</v>
      </c>
      <c r="BZ184" s="41">
        <f t="shared" si="95"/>
        <v>161491.14583333334</v>
      </c>
      <c r="CA184" s="58">
        <f t="shared" si="98"/>
        <v>44361</v>
      </c>
      <c r="CB184" s="47">
        <f>IF(E184=E185,0,BZ184)</f>
        <v>0</v>
      </c>
    </row>
    <row r="185" spans="2:80" ht="15" outlineLevel="1" x14ac:dyDescent="0.2">
      <c r="B185" s="18">
        <f t="shared" si="69"/>
        <v>44368</v>
      </c>
      <c r="C185" s="17" t="s">
        <v>1</v>
      </c>
      <c r="D185" s="19">
        <f t="shared" si="70"/>
        <v>44374</v>
      </c>
      <c r="E185" s="20">
        <f t="shared" si="71"/>
        <v>6</v>
      </c>
      <c r="F185" s="21">
        <f t="shared" si="72"/>
        <v>2021</v>
      </c>
      <c r="G185" s="11">
        <f t="shared" si="100"/>
        <v>22</v>
      </c>
      <c r="H185" s="10">
        <f t="shared" si="100"/>
        <v>66</v>
      </c>
      <c r="I185" s="11"/>
      <c r="J185" s="11"/>
      <c r="K185" s="11"/>
      <c r="L185" s="11"/>
      <c r="M185" s="11"/>
      <c r="N185" s="11"/>
      <c r="O185" s="14"/>
      <c r="P185" s="14"/>
      <c r="Q185" s="14"/>
      <c r="R185" s="14"/>
      <c r="S185" s="14"/>
      <c r="T185" s="14"/>
      <c r="V185" s="22">
        <f>IF(I185&gt;0,I185,IF(O185=1,$B185+2,IF(O184=1,1,IF(O184=2,0,IF(V184=$G184,0,(IF(V184&gt;=1,V184+1,0)))))))</f>
        <v>10</v>
      </c>
      <c r="W185" s="22">
        <f t="shared" si="99"/>
        <v>0</v>
      </c>
      <c r="X185" s="22">
        <f t="shared" si="99"/>
        <v>0</v>
      </c>
      <c r="Y185" s="22">
        <f t="shared" si="99"/>
        <v>0</v>
      </c>
      <c r="Z185" s="22">
        <f t="shared" si="99"/>
        <v>0</v>
      </c>
      <c r="AA185" s="22">
        <f t="shared" si="99"/>
        <v>0</v>
      </c>
      <c r="AB185" s="1"/>
      <c r="AC185" s="5">
        <f t="shared" si="78"/>
        <v>61</v>
      </c>
      <c r="AD185" s="5">
        <f t="shared" si="79"/>
        <v>56</v>
      </c>
      <c r="AE185" s="5">
        <f t="shared" si="80"/>
        <v>37</v>
      </c>
      <c r="AF185" s="5">
        <f t="shared" si="81"/>
        <v>0</v>
      </c>
      <c r="AG185" s="5">
        <f t="shared" si="82"/>
        <v>0</v>
      </c>
      <c r="AH185" s="5">
        <f t="shared" si="83"/>
        <v>0</v>
      </c>
      <c r="AI185" s="5">
        <f t="shared" si="84"/>
        <v>0</v>
      </c>
      <c r="AJ185" s="5">
        <f t="shared" si="85"/>
        <v>0</v>
      </c>
      <c r="AK185" s="5">
        <f t="shared" si="86"/>
        <v>0</v>
      </c>
      <c r="AL185" s="5">
        <f t="shared" si="87"/>
        <v>0</v>
      </c>
      <c r="AM185" s="5">
        <f t="shared" si="88"/>
        <v>0</v>
      </c>
      <c r="AN185" s="5">
        <f t="shared" si="89"/>
        <v>0</v>
      </c>
      <c r="AO185" s="5">
        <f t="shared" si="90"/>
        <v>0</v>
      </c>
      <c r="AP185" s="5">
        <f t="shared" si="91"/>
        <v>0</v>
      </c>
      <c r="AQ185" s="5">
        <f t="shared" si="92"/>
        <v>0</v>
      </c>
      <c r="AR185" s="5">
        <f t="shared" si="93"/>
        <v>0</v>
      </c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M185" s="40">
        <f>IF(OR(V184=4,V184=8,V184=12,V184=16,V184=20),$CA$1,0)</f>
        <v>0</v>
      </c>
      <c r="BN185" s="40">
        <f>IF(OR(W184=4,W184=8,W184=12,W184=16,W184=20),$CA$1,0)</f>
        <v>0</v>
      </c>
      <c r="BO185" s="40">
        <f>IF(OR(X184=4,X184=8,X184=12,X184=16,X184=20),$CA$1,0)</f>
        <v>0</v>
      </c>
      <c r="BP185" s="40">
        <f>IF(OR(Y184=4,Y184=8,Y184=12,Y184=16,Y184=20),$CA$1,0)</f>
        <v>0</v>
      </c>
      <c r="BQ185" s="40">
        <f>IF(OR(Z184=4,Z184=8,Z184=12,Z184=16,Z184=20),$CA$1,0)</f>
        <v>0</v>
      </c>
      <c r="BR185" s="40">
        <f>IF(OR(AA184=4,AA184=8,AA184=12,AA184=16,AA184=20),$CA$1,0)</f>
        <v>0</v>
      </c>
      <c r="BS185" s="40">
        <f>IF(V181=20,$CB$1,0)</f>
        <v>0</v>
      </c>
      <c r="BT185" s="40">
        <f>IF(W181=20,$CB$1,0)</f>
        <v>0</v>
      </c>
      <c r="BU185" s="40">
        <f>IF(X181=20,$CB$1,0)</f>
        <v>0</v>
      </c>
      <c r="BV185" s="40">
        <f>IF(Y181=20,$CB$1,0)</f>
        <v>0</v>
      </c>
      <c r="BW185" s="40">
        <f>IF(Z181=20,$CB$1,0)</f>
        <v>0</v>
      </c>
      <c r="BX185" s="40">
        <f>IF(AA181=20,$CB$1,0)</f>
        <v>0</v>
      </c>
      <c r="BY185" s="41">
        <f t="shared" si="94"/>
        <v>0</v>
      </c>
      <c r="BZ185" s="41">
        <f t="shared" si="95"/>
        <v>161491.14583333334</v>
      </c>
      <c r="CA185" s="58">
        <f t="shared" si="98"/>
        <v>44368</v>
      </c>
      <c r="CB185" s="47">
        <f>IF(E185=E186,0,BZ185)</f>
        <v>0</v>
      </c>
    </row>
    <row r="186" spans="2:80" ht="15" outlineLevel="1" x14ac:dyDescent="0.2">
      <c r="B186" s="18">
        <f t="shared" si="69"/>
        <v>44375</v>
      </c>
      <c r="C186" s="17" t="s">
        <v>1</v>
      </c>
      <c r="D186" s="19">
        <f t="shared" si="70"/>
        <v>44381</v>
      </c>
      <c r="E186" s="20">
        <f t="shared" si="71"/>
        <v>6</v>
      </c>
      <c r="F186" s="21">
        <f t="shared" si="72"/>
        <v>2021</v>
      </c>
      <c r="G186" s="11">
        <f t="shared" si="100"/>
        <v>22</v>
      </c>
      <c r="H186" s="10">
        <f t="shared" si="100"/>
        <v>66</v>
      </c>
      <c r="I186" s="11"/>
      <c r="J186" s="11"/>
      <c r="K186" s="11"/>
      <c r="L186" s="11"/>
      <c r="M186" s="11"/>
      <c r="N186" s="11"/>
      <c r="O186" s="14"/>
      <c r="P186" s="14"/>
      <c r="Q186" s="14"/>
      <c r="R186" s="14"/>
      <c r="S186" s="14"/>
      <c r="T186" s="14"/>
      <c r="V186" s="22">
        <f t="shared" si="99"/>
        <v>11</v>
      </c>
      <c r="W186" s="22">
        <f t="shared" si="99"/>
        <v>0</v>
      </c>
      <c r="X186" s="22">
        <f t="shared" si="99"/>
        <v>0</v>
      </c>
      <c r="Y186" s="22">
        <f t="shared" si="99"/>
        <v>0</v>
      </c>
      <c r="Z186" s="22">
        <f t="shared" si="99"/>
        <v>0</v>
      </c>
      <c r="AA186" s="22">
        <f t="shared" si="99"/>
        <v>0</v>
      </c>
      <c r="AB186" s="1"/>
      <c r="AC186" s="5">
        <f t="shared" si="78"/>
        <v>62</v>
      </c>
      <c r="AD186" s="5">
        <f t="shared" si="79"/>
        <v>57</v>
      </c>
      <c r="AE186" s="5">
        <f t="shared" si="80"/>
        <v>38</v>
      </c>
      <c r="AF186" s="5">
        <f t="shared" si="81"/>
        <v>0</v>
      </c>
      <c r="AG186" s="5">
        <f t="shared" si="82"/>
        <v>0</v>
      </c>
      <c r="AH186" s="5">
        <f t="shared" si="83"/>
        <v>0</v>
      </c>
      <c r="AI186" s="5">
        <f t="shared" si="84"/>
        <v>0</v>
      </c>
      <c r="AJ186" s="5">
        <f t="shared" si="85"/>
        <v>0</v>
      </c>
      <c r="AK186" s="5">
        <f t="shared" si="86"/>
        <v>0</v>
      </c>
      <c r="AL186" s="5">
        <f t="shared" si="87"/>
        <v>0</v>
      </c>
      <c r="AM186" s="5">
        <f t="shared" si="88"/>
        <v>0</v>
      </c>
      <c r="AN186" s="5">
        <f t="shared" si="89"/>
        <v>0</v>
      </c>
      <c r="AO186" s="5">
        <f t="shared" si="90"/>
        <v>0</v>
      </c>
      <c r="AP186" s="5">
        <f t="shared" si="91"/>
        <v>0</v>
      </c>
      <c r="AQ186" s="5">
        <f t="shared" si="92"/>
        <v>0</v>
      </c>
      <c r="AR186" s="5">
        <f t="shared" si="93"/>
        <v>0</v>
      </c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M186" s="40">
        <f>IF(OR(V185=4,V185=8,V185=12,V185=16,V185=20),$CA$1,0)</f>
        <v>0</v>
      </c>
      <c r="BN186" s="40">
        <f>IF(OR(W185=4,W185=8,W185=12,W185=16,W185=20),$CA$1,0)</f>
        <v>0</v>
      </c>
      <c r="BO186" s="40">
        <f>IF(OR(X185=4,X185=8,X185=12,X185=16,X185=20),$CA$1,0)</f>
        <v>0</v>
      </c>
      <c r="BP186" s="40">
        <f>IF(OR(Y185=4,Y185=8,Y185=12,Y185=16,Y185=20),$CA$1,0)</f>
        <v>0</v>
      </c>
      <c r="BQ186" s="40">
        <f>IF(OR(Z185=4,Z185=8,Z185=12,Z185=16,Z185=20),$CA$1,0)</f>
        <v>0</v>
      </c>
      <c r="BR186" s="40">
        <f>IF(OR(AA185=4,AA185=8,AA185=12,AA185=16,AA185=20),$CA$1,0)</f>
        <v>0</v>
      </c>
      <c r="BS186" s="40">
        <f>IF(V182=20,$CB$1,0)</f>
        <v>0</v>
      </c>
      <c r="BT186" s="40">
        <f>IF(W182=20,$CB$1,0)</f>
        <v>0</v>
      </c>
      <c r="BU186" s="40">
        <f>IF(X182=20,$CB$1,0)</f>
        <v>0</v>
      </c>
      <c r="BV186" s="40">
        <f>IF(Y182=20,$CB$1,0)</f>
        <v>0</v>
      </c>
      <c r="BW186" s="40">
        <f>IF(Z182=20,$CB$1,0)</f>
        <v>0</v>
      </c>
      <c r="BX186" s="40">
        <f>IF(AA182=20,$CB$1,0)</f>
        <v>0</v>
      </c>
      <c r="BY186" s="41">
        <f t="shared" si="94"/>
        <v>0</v>
      </c>
      <c r="BZ186" s="41">
        <f t="shared" si="95"/>
        <v>161491.14583333334</v>
      </c>
      <c r="CA186" s="58">
        <f t="shared" si="98"/>
        <v>44375</v>
      </c>
      <c r="CB186" s="47">
        <f>IF(E186=E187,0,BZ186)</f>
        <v>161491.14583333334</v>
      </c>
    </row>
    <row r="187" spans="2:80" ht="15" outlineLevel="1" x14ac:dyDescent="0.2">
      <c r="B187" s="18">
        <f t="shared" si="69"/>
        <v>44382</v>
      </c>
      <c r="C187" s="17" t="s">
        <v>1</v>
      </c>
      <c r="D187" s="19">
        <f t="shared" si="70"/>
        <v>44388</v>
      </c>
      <c r="E187" s="20">
        <f t="shared" si="71"/>
        <v>7</v>
      </c>
      <c r="F187" s="21">
        <f t="shared" si="72"/>
        <v>2021</v>
      </c>
      <c r="G187" s="11">
        <f t="shared" si="100"/>
        <v>22</v>
      </c>
      <c r="H187" s="10">
        <f t="shared" si="100"/>
        <v>66</v>
      </c>
      <c r="I187" s="11"/>
      <c r="J187" s="11"/>
      <c r="K187" s="11"/>
      <c r="L187" s="11"/>
      <c r="M187" s="11"/>
      <c r="N187" s="11"/>
      <c r="O187" s="14"/>
      <c r="P187" s="14"/>
      <c r="Q187" s="14"/>
      <c r="R187" s="14"/>
      <c r="S187" s="14"/>
      <c r="T187" s="14"/>
      <c r="V187" s="22">
        <f t="shared" si="99"/>
        <v>12</v>
      </c>
      <c r="W187" s="22">
        <f t="shared" si="99"/>
        <v>0</v>
      </c>
      <c r="X187" s="22">
        <f t="shared" si="99"/>
        <v>0</v>
      </c>
      <c r="Y187" s="22">
        <f t="shared" si="99"/>
        <v>0</v>
      </c>
      <c r="Z187" s="22">
        <f t="shared" si="99"/>
        <v>0</v>
      </c>
      <c r="AA187" s="22">
        <f t="shared" si="99"/>
        <v>0</v>
      </c>
      <c r="AB187" s="1"/>
      <c r="AC187" s="5">
        <f t="shared" si="78"/>
        <v>63</v>
      </c>
      <c r="AD187" s="5">
        <f t="shared" si="79"/>
        <v>58</v>
      </c>
      <c r="AE187" s="5">
        <f t="shared" si="80"/>
        <v>39</v>
      </c>
      <c r="AF187" s="5">
        <f t="shared" si="81"/>
        <v>0</v>
      </c>
      <c r="AG187" s="5">
        <f t="shared" si="82"/>
        <v>0</v>
      </c>
      <c r="AH187" s="5">
        <f t="shared" si="83"/>
        <v>0</v>
      </c>
      <c r="AI187" s="5">
        <f t="shared" si="84"/>
        <v>0</v>
      </c>
      <c r="AJ187" s="5">
        <f t="shared" si="85"/>
        <v>0</v>
      </c>
      <c r="AK187" s="5">
        <f t="shared" si="86"/>
        <v>0</v>
      </c>
      <c r="AL187" s="5">
        <f t="shared" si="87"/>
        <v>0</v>
      </c>
      <c r="AM187" s="5">
        <f t="shared" si="88"/>
        <v>0</v>
      </c>
      <c r="AN187" s="5">
        <f t="shared" si="89"/>
        <v>0</v>
      </c>
      <c r="AO187" s="5">
        <f t="shared" si="90"/>
        <v>0</v>
      </c>
      <c r="AP187" s="5">
        <f t="shared" si="91"/>
        <v>0</v>
      </c>
      <c r="AQ187" s="5">
        <f t="shared" si="92"/>
        <v>0</v>
      </c>
      <c r="AR187" s="5">
        <f t="shared" si="93"/>
        <v>0</v>
      </c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M187" s="40">
        <f>IF(OR(V186=4,V186=8,V186=12,V186=16,V186=20),$CA$1,0)</f>
        <v>0</v>
      </c>
      <c r="BN187" s="40">
        <f>IF(OR(W186=4,W186=8,W186=12,W186=16,W186=20),$CA$1,0)</f>
        <v>0</v>
      </c>
      <c r="BO187" s="40">
        <f>IF(OR(X186=4,X186=8,X186=12,X186=16,X186=20),$CA$1,0)</f>
        <v>0</v>
      </c>
      <c r="BP187" s="40">
        <f>IF(OR(Y186=4,Y186=8,Y186=12,Y186=16,Y186=20),$CA$1,0)</f>
        <v>0</v>
      </c>
      <c r="BQ187" s="40">
        <f>IF(OR(Z186=4,Z186=8,Z186=12,Z186=16,Z186=20),$CA$1,0)</f>
        <v>0</v>
      </c>
      <c r="BR187" s="40">
        <f>IF(OR(AA186=4,AA186=8,AA186=12,AA186=16,AA186=20),$CA$1,0)</f>
        <v>0</v>
      </c>
      <c r="BS187" s="40">
        <f>IF(V183=20,$CB$1,0)</f>
        <v>0</v>
      </c>
      <c r="BT187" s="40">
        <f>IF(W183=20,$CB$1,0)</f>
        <v>0</v>
      </c>
      <c r="BU187" s="40">
        <f>IF(X183=20,$CB$1,0)</f>
        <v>0</v>
      </c>
      <c r="BV187" s="40">
        <f>IF(Y183=20,$CB$1,0)</f>
        <v>0</v>
      </c>
      <c r="BW187" s="40">
        <f>IF(Z183=20,$CB$1,0)</f>
        <v>0</v>
      </c>
      <c r="BX187" s="40">
        <f>IF(AA183=20,$CB$1,0)</f>
        <v>0</v>
      </c>
      <c r="BY187" s="41">
        <f t="shared" si="94"/>
        <v>0</v>
      </c>
      <c r="BZ187" s="41">
        <f t="shared" si="95"/>
        <v>0</v>
      </c>
      <c r="CA187" s="58">
        <f t="shared" si="98"/>
        <v>44382</v>
      </c>
      <c r="CB187" s="47">
        <f>IF(E187=E188,0,BZ187)</f>
        <v>0</v>
      </c>
    </row>
    <row r="188" spans="2:80" ht="15" outlineLevel="1" x14ac:dyDescent="0.2">
      <c r="B188" s="18">
        <f t="shared" si="69"/>
        <v>44389</v>
      </c>
      <c r="C188" s="17" t="s">
        <v>1</v>
      </c>
      <c r="D188" s="19">
        <f t="shared" si="70"/>
        <v>44395</v>
      </c>
      <c r="E188" s="20">
        <f t="shared" si="71"/>
        <v>7</v>
      </c>
      <c r="F188" s="21">
        <f t="shared" si="72"/>
        <v>2021</v>
      </c>
      <c r="G188" s="11">
        <f t="shared" si="100"/>
        <v>22</v>
      </c>
      <c r="H188" s="10">
        <f t="shared" si="100"/>
        <v>66</v>
      </c>
      <c r="I188" s="11"/>
      <c r="J188" s="11"/>
      <c r="K188" s="11"/>
      <c r="L188" s="11"/>
      <c r="M188" s="11"/>
      <c r="N188" s="11"/>
      <c r="O188" s="14"/>
      <c r="P188" s="14"/>
      <c r="Q188" s="14"/>
      <c r="R188" s="14"/>
      <c r="S188" s="14"/>
      <c r="T188" s="14"/>
      <c r="V188" s="22">
        <f t="shared" si="99"/>
        <v>13</v>
      </c>
      <c r="W188" s="22">
        <f t="shared" si="99"/>
        <v>0</v>
      </c>
      <c r="X188" s="22">
        <f t="shared" si="99"/>
        <v>0</v>
      </c>
      <c r="Y188" s="22">
        <f t="shared" si="99"/>
        <v>0</v>
      </c>
      <c r="Z188" s="22">
        <f t="shared" si="99"/>
        <v>0</v>
      </c>
      <c r="AA188" s="22">
        <f t="shared" si="99"/>
        <v>0</v>
      </c>
      <c r="AB188" s="1"/>
      <c r="AC188" s="5">
        <f t="shared" si="78"/>
        <v>64</v>
      </c>
      <c r="AD188" s="5">
        <f t="shared" si="79"/>
        <v>59</v>
      </c>
      <c r="AE188" s="5">
        <f t="shared" si="80"/>
        <v>40</v>
      </c>
      <c r="AF188" s="5">
        <f t="shared" si="81"/>
        <v>0</v>
      </c>
      <c r="AG188" s="5">
        <f t="shared" si="82"/>
        <v>0</v>
      </c>
      <c r="AH188" s="5">
        <f t="shared" si="83"/>
        <v>0</v>
      </c>
      <c r="AI188" s="5">
        <f t="shared" si="84"/>
        <v>0</v>
      </c>
      <c r="AJ188" s="5">
        <f t="shared" si="85"/>
        <v>0</v>
      </c>
      <c r="AK188" s="5">
        <f t="shared" si="86"/>
        <v>0</v>
      </c>
      <c r="AL188" s="5">
        <f t="shared" si="87"/>
        <v>0</v>
      </c>
      <c r="AM188" s="5">
        <f t="shared" si="88"/>
        <v>0</v>
      </c>
      <c r="AN188" s="5">
        <f t="shared" si="89"/>
        <v>0</v>
      </c>
      <c r="AO188" s="5">
        <f t="shared" si="90"/>
        <v>0</v>
      </c>
      <c r="AP188" s="5">
        <f t="shared" si="91"/>
        <v>0</v>
      </c>
      <c r="AQ188" s="5">
        <f t="shared" si="92"/>
        <v>0</v>
      </c>
      <c r="AR188" s="5">
        <f t="shared" si="93"/>
        <v>0</v>
      </c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M188" s="40">
        <f>IF(OR(V187=4,V187=8,V187=12,V187=16,V187=20),$CA$1,0)</f>
        <v>161491.14583333334</v>
      </c>
      <c r="BN188" s="40">
        <f>IF(OR(W187=4,W187=8,W187=12,W187=16,W187=20),$CA$1,0)</f>
        <v>0</v>
      </c>
      <c r="BO188" s="40">
        <f>IF(OR(X187=4,X187=8,X187=12,X187=16,X187=20),$CA$1,0)</f>
        <v>0</v>
      </c>
      <c r="BP188" s="40">
        <f>IF(OR(Y187=4,Y187=8,Y187=12,Y187=16,Y187=20),$CA$1,0)</f>
        <v>0</v>
      </c>
      <c r="BQ188" s="40">
        <f>IF(OR(Z187=4,Z187=8,Z187=12,Z187=16,Z187=20),$CA$1,0)</f>
        <v>0</v>
      </c>
      <c r="BR188" s="40">
        <f>IF(OR(AA187=4,AA187=8,AA187=12,AA187=16,AA187=20),$CA$1,0)</f>
        <v>0</v>
      </c>
      <c r="BS188" s="40">
        <f>IF(V184=20,$CB$1,0)</f>
        <v>0</v>
      </c>
      <c r="BT188" s="40">
        <f>IF(W184=20,$CB$1,0)</f>
        <v>0</v>
      </c>
      <c r="BU188" s="40">
        <f>IF(X184=20,$CB$1,0)</f>
        <v>0</v>
      </c>
      <c r="BV188" s="40">
        <f>IF(Y184=20,$CB$1,0)</f>
        <v>0</v>
      </c>
      <c r="BW188" s="40">
        <f>IF(Z184=20,$CB$1,0)</f>
        <v>0</v>
      </c>
      <c r="BX188" s="40">
        <f>IF(AA184=20,$CB$1,0)</f>
        <v>0</v>
      </c>
      <c r="BY188" s="41">
        <f t="shared" si="94"/>
        <v>161491.14583333334</v>
      </c>
      <c r="BZ188" s="41">
        <f t="shared" si="95"/>
        <v>161491.14583333334</v>
      </c>
      <c r="CA188" s="58">
        <f t="shared" si="98"/>
        <v>44389</v>
      </c>
      <c r="CB188" s="47">
        <f>IF(E188=E189,0,BZ188)</f>
        <v>0</v>
      </c>
    </row>
    <row r="189" spans="2:80" ht="15" outlineLevel="1" x14ac:dyDescent="0.2">
      <c r="B189" s="18">
        <f t="shared" si="69"/>
        <v>44396</v>
      </c>
      <c r="C189" s="17" t="s">
        <v>1</v>
      </c>
      <c r="D189" s="19">
        <f t="shared" si="70"/>
        <v>44402</v>
      </c>
      <c r="E189" s="20">
        <f t="shared" si="71"/>
        <v>7</v>
      </c>
      <c r="F189" s="21">
        <f t="shared" si="72"/>
        <v>2021</v>
      </c>
      <c r="G189" s="11">
        <f t="shared" si="100"/>
        <v>22</v>
      </c>
      <c r="H189" s="10">
        <f t="shared" si="100"/>
        <v>66</v>
      </c>
      <c r="I189" s="11"/>
      <c r="J189" s="11"/>
      <c r="K189" s="11"/>
      <c r="L189" s="11"/>
      <c r="M189" s="11"/>
      <c r="N189" s="11"/>
      <c r="O189" s="14"/>
      <c r="P189" s="14"/>
      <c r="Q189" s="14"/>
      <c r="R189" s="14"/>
      <c r="S189" s="14"/>
      <c r="T189" s="14"/>
      <c r="V189" s="22">
        <f t="shared" si="99"/>
        <v>14</v>
      </c>
      <c r="W189" s="22">
        <f t="shared" si="99"/>
        <v>0</v>
      </c>
      <c r="X189" s="22">
        <f t="shared" si="99"/>
        <v>0</v>
      </c>
      <c r="Y189" s="22">
        <f t="shared" si="99"/>
        <v>0</v>
      </c>
      <c r="Z189" s="22">
        <f t="shared" si="99"/>
        <v>0</v>
      </c>
      <c r="AA189" s="22">
        <f t="shared" si="99"/>
        <v>0</v>
      </c>
      <c r="AB189" s="1"/>
      <c r="AC189" s="5">
        <f t="shared" si="78"/>
        <v>65</v>
      </c>
      <c r="AD189" s="5">
        <f t="shared" si="79"/>
        <v>60</v>
      </c>
      <c r="AE189" s="5">
        <f t="shared" si="80"/>
        <v>41</v>
      </c>
      <c r="AF189" s="5">
        <f t="shared" si="81"/>
        <v>0</v>
      </c>
      <c r="AG189" s="5">
        <f t="shared" si="82"/>
        <v>0</v>
      </c>
      <c r="AH189" s="5">
        <f t="shared" si="83"/>
        <v>0</v>
      </c>
      <c r="AI189" s="5">
        <f t="shared" si="84"/>
        <v>0</v>
      </c>
      <c r="AJ189" s="5">
        <f t="shared" si="85"/>
        <v>0</v>
      </c>
      <c r="AK189" s="5">
        <f t="shared" si="86"/>
        <v>0</v>
      </c>
      <c r="AL189" s="5">
        <f t="shared" si="87"/>
        <v>0</v>
      </c>
      <c r="AM189" s="5">
        <f t="shared" si="88"/>
        <v>0</v>
      </c>
      <c r="AN189" s="5">
        <f t="shared" si="89"/>
        <v>0</v>
      </c>
      <c r="AO189" s="5">
        <f t="shared" si="90"/>
        <v>0</v>
      </c>
      <c r="AP189" s="5">
        <f t="shared" si="91"/>
        <v>0</v>
      </c>
      <c r="AQ189" s="5">
        <f t="shared" si="92"/>
        <v>0</v>
      </c>
      <c r="AR189" s="5">
        <f t="shared" si="93"/>
        <v>0</v>
      </c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M189" s="40">
        <f>IF(OR(V188=4,V188=8,V188=12,V188=16,V188=20),$CA$1,0)</f>
        <v>0</v>
      </c>
      <c r="BN189" s="40">
        <f>IF(OR(W188=4,W188=8,W188=12,W188=16,W188=20),$CA$1,0)</f>
        <v>0</v>
      </c>
      <c r="BO189" s="40">
        <f>IF(OR(X188=4,X188=8,X188=12,X188=16,X188=20),$CA$1,0)</f>
        <v>0</v>
      </c>
      <c r="BP189" s="40">
        <f>IF(OR(Y188=4,Y188=8,Y188=12,Y188=16,Y188=20),$CA$1,0)</f>
        <v>0</v>
      </c>
      <c r="BQ189" s="40">
        <f>IF(OR(Z188=4,Z188=8,Z188=12,Z188=16,Z188=20),$CA$1,0)</f>
        <v>0</v>
      </c>
      <c r="BR189" s="40">
        <f>IF(OR(AA188=4,AA188=8,AA188=12,AA188=16,AA188=20),$CA$1,0)</f>
        <v>0</v>
      </c>
      <c r="BS189" s="40">
        <f>IF(V185=20,$CB$1,0)</f>
        <v>0</v>
      </c>
      <c r="BT189" s="40">
        <f>IF(W185=20,$CB$1,0)</f>
        <v>0</v>
      </c>
      <c r="BU189" s="40">
        <f>IF(X185=20,$CB$1,0)</f>
        <v>0</v>
      </c>
      <c r="BV189" s="40">
        <f>IF(Y185=20,$CB$1,0)</f>
        <v>0</v>
      </c>
      <c r="BW189" s="40">
        <f>IF(Z185=20,$CB$1,0)</f>
        <v>0</v>
      </c>
      <c r="BX189" s="40">
        <f>IF(AA185=20,$CB$1,0)</f>
        <v>0</v>
      </c>
      <c r="BY189" s="41">
        <f t="shared" si="94"/>
        <v>0</v>
      </c>
      <c r="BZ189" s="41">
        <f t="shared" si="95"/>
        <v>161491.14583333334</v>
      </c>
      <c r="CA189" s="58">
        <f t="shared" si="98"/>
        <v>44396</v>
      </c>
      <c r="CB189" s="47">
        <f>IF(E189=E190,0,BZ189)</f>
        <v>0</v>
      </c>
    </row>
    <row r="190" spans="2:80" ht="15" outlineLevel="1" x14ac:dyDescent="0.2">
      <c r="B190" s="18">
        <f t="shared" si="69"/>
        <v>44403</v>
      </c>
      <c r="C190" s="17" t="s">
        <v>1</v>
      </c>
      <c r="D190" s="19">
        <f t="shared" si="70"/>
        <v>44409</v>
      </c>
      <c r="E190" s="20">
        <f t="shared" si="71"/>
        <v>7</v>
      </c>
      <c r="F190" s="21">
        <f t="shared" si="72"/>
        <v>2021</v>
      </c>
      <c r="G190" s="11">
        <f t="shared" si="100"/>
        <v>22</v>
      </c>
      <c r="H190" s="10">
        <f t="shared" si="100"/>
        <v>66</v>
      </c>
      <c r="I190" s="11"/>
      <c r="J190" s="11"/>
      <c r="K190" s="11"/>
      <c r="L190" s="11"/>
      <c r="M190" s="11"/>
      <c r="N190" s="11"/>
      <c r="O190" s="14"/>
      <c r="P190" s="14"/>
      <c r="Q190" s="14"/>
      <c r="R190" s="14"/>
      <c r="S190" s="14"/>
      <c r="T190" s="14"/>
      <c r="V190" s="22">
        <f t="shared" si="99"/>
        <v>15</v>
      </c>
      <c r="W190" s="22">
        <f t="shared" si="99"/>
        <v>0</v>
      </c>
      <c r="X190" s="22">
        <f t="shared" si="99"/>
        <v>0</v>
      </c>
      <c r="Y190" s="22">
        <f t="shared" si="99"/>
        <v>0</v>
      </c>
      <c r="Z190" s="22">
        <f t="shared" si="99"/>
        <v>0</v>
      </c>
      <c r="AA190" s="22">
        <f t="shared" si="99"/>
        <v>0</v>
      </c>
      <c r="AB190" s="1"/>
      <c r="AC190" s="5">
        <f t="shared" si="78"/>
        <v>66</v>
      </c>
      <c r="AD190" s="5">
        <f t="shared" si="79"/>
        <v>61</v>
      </c>
      <c r="AE190" s="5">
        <f t="shared" si="80"/>
        <v>42</v>
      </c>
      <c r="AF190" s="5">
        <f t="shared" si="81"/>
        <v>0</v>
      </c>
      <c r="AG190" s="5">
        <f t="shared" si="82"/>
        <v>0</v>
      </c>
      <c r="AH190" s="5">
        <f t="shared" si="83"/>
        <v>0</v>
      </c>
      <c r="AI190" s="5">
        <f t="shared" si="84"/>
        <v>0</v>
      </c>
      <c r="AJ190" s="5">
        <f t="shared" si="85"/>
        <v>0</v>
      </c>
      <c r="AK190" s="5">
        <f t="shared" si="86"/>
        <v>0</v>
      </c>
      <c r="AL190" s="5">
        <f t="shared" si="87"/>
        <v>0</v>
      </c>
      <c r="AM190" s="5">
        <f t="shared" si="88"/>
        <v>0</v>
      </c>
      <c r="AN190" s="5">
        <f t="shared" si="89"/>
        <v>0</v>
      </c>
      <c r="AO190" s="5">
        <f t="shared" si="90"/>
        <v>0</v>
      </c>
      <c r="AP190" s="5">
        <f t="shared" si="91"/>
        <v>0</v>
      </c>
      <c r="AQ190" s="5">
        <f t="shared" si="92"/>
        <v>0</v>
      </c>
      <c r="AR190" s="5">
        <f t="shared" si="93"/>
        <v>0</v>
      </c>
      <c r="AS190" s="10"/>
      <c r="AT190" s="10" t="s">
        <v>21</v>
      </c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M190" s="40">
        <f>IF(OR(V189=4,V189=8,V189=12,V189=16,V189=20),$CA$1,0)</f>
        <v>0</v>
      </c>
      <c r="BN190" s="40">
        <f>IF(OR(W189=4,W189=8,W189=12,W189=16,W189=20),$CA$1,0)</f>
        <v>0</v>
      </c>
      <c r="BO190" s="40">
        <f>IF(OR(X189=4,X189=8,X189=12,X189=16,X189=20),$CA$1,0)</f>
        <v>0</v>
      </c>
      <c r="BP190" s="40">
        <f>IF(OR(Y189=4,Y189=8,Y189=12,Y189=16,Y189=20),$CA$1,0)</f>
        <v>0</v>
      </c>
      <c r="BQ190" s="40">
        <f>IF(OR(Z189=4,Z189=8,Z189=12,Z189=16,Z189=20),$CA$1,0)</f>
        <v>0</v>
      </c>
      <c r="BR190" s="40">
        <f>IF(OR(AA189=4,AA189=8,AA189=12,AA189=16,AA189=20),$CA$1,0)</f>
        <v>0</v>
      </c>
      <c r="BS190" s="40">
        <f>IF(V186=20,$CB$1,0)</f>
        <v>0</v>
      </c>
      <c r="BT190" s="40">
        <f>IF(W186=20,$CB$1,0)</f>
        <v>0</v>
      </c>
      <c r="BU190" s="40">
        <f>IF(X186=20,$CB$1,0)</f>
        <v>0</v>
      </c>
      <c r="BV190" s="40">
        <f>IF(Y186=20,$CB$1,0)</f>
        <v>0</v>
      </c>
      <c r="BW190" s="40">
        <f>IF(Z186=20,$CB$1,0)</f>
        <v>0</v>
      </c>
      <c r="BX190" s="40">
        <f>IF(AA186=20,$CB$1,0)</f>
        <v>0</v>
      </c>
      <c r="BY190" s="41">
        <f t="shared" si="94"/>
        <v>0</v>
      </c>
      <c r="BZ190" s="41">
        <f t="shared" si="95"/>
        <v>161491.14583333334</v>
      </c>
      <c r="CA190" s="58">
        <f t="shared" si="98"/>
        <v>44403</v>
      </c>
      <c r="CB190" s="47">
        <f>IF(E190=E191,0,BZ190)</f>
        <v>161491.14583333334</v>
      </c>
    </row>
    <row r="191" spans="2:80" ht="15" outlineLevel="1" x14ac:dyDescent="0.2">
      <c r="B191" s="18">
        <f t="shared" si="69"/>
        <v>44410</v>
      </c>
      <c r="C191" s="17" t="s">
        <v>1</v>
      </c>
      <c r="D191" s="19">
        <f t="shared" si="70"/>
        <v>44416</v>
      </c>
      <c r="E191" s="20">
        <f t="shared" si="71"/>
        <v>8</v>
      </c>
      <c r="F191" s="21">
        <f t="shared" si="72"/>
        <v>2021</v>
      </c>
      <c r="G191" s="11">
        <f t="shared" si="100"/>
        <v>22</v>
      </c>
      <c r="H191" s="10">
        <f t="shared" si="100"/>
        <v>66</v>
      </c>
      <c r="I191" s="11"/>
      <c r="J191" s="11"/>
      <c r="K191" s="11"/>
      <c r="L191" s="11"/>
      <c r="M191" s="11"/>
      <c r="N191" s="11"/>
      <c r="O191" s="14"/>
      <c r="P191" s="14"/>
      <c r="Q191" s="14"/>
      <c r="R191" s="14"/>
      <c r="S191" s="14"/>
      <c r="T191" s="14"/>
      <c r="V191" s="22">
        <f t="shared" si="99"/>
        <v>16</v>
      </c>
      <c r="W191" s="22">
        <f t="shared" si="99"/>
        <v>0</v>
      </c>
      <c r="X191" s="22">
        <f t="shared" si="99"/>
        <v>0</v>
      </c>
      <c r="Y191" s="22">
        <f t="shared" si="99"/>
        <v>0</v>
      </c>
      <c r="Z191" s="22">
        <f t="shared" si="99"/>
        <v>0</v>
      </c>
      <c r="AA191" s="22">
        <f t="shared" si="99"/>
        <v>0</v>
      </c>
      <c r="AB191" s="1"/>
      <c r="AC191" s="5">
        <f t="shared" si="78"/>
        <v>0</v>
      </c>
      <c r="AD191" s="5">
        <f t="shared" si="79"/>
        <v>0</v>
      </c>
      <c r="AE191" s="5">
        <f t="shared" si="80"/>
        <v>43</v>
      </c>
      <c r="AF191" s="5">
        <f t="shared" si="81"/>
        <v>0</v>
      </c>
      <c r="AG191" s="5">
        <f t="shared" si="82"/>
        <v>0</v>
      </c>
      <c r="AH191" s="5">
        <f t="shared" si="83"/>
        <v>0</v>
      </c>
      <c r="AI191" s="5">
        <f t="shared" si="84"/>
        <v>0</v>
      </c>
      <c r="AJ191" s="5">
        <f t="shared" si="85"/>
        <v>0</v>
      </c>
      <c r="AK191" s="5">
        <f t="shared" si="86"/>
        <v>0</v>
      </c>
      <c r="AL191" s="5">
        <f t="shared" si="87"/>
        <v>0</v>
      </c>
      <c r="AM191" s="5">
        <f t="shared" si="88"/>
        <v>0</v>
      </c>
      <c r="AN191" s="5">
        <f t="shared" si="89"/>
        <v>0</v>
      </c>
      <c r="AO191" s="5">
        <f t="shared" si="90"/>
        <v>0</v>
      </c>
      <c r="AP191" s="5">
        <f t="shared" si="91"/>
        <v>0</v>
      </c>
      <c r="AQ191" s="5">
        <f t="shared" si="92"/>
        <v>0</v>
      </c>
      <c r="AR191" s="5">
        <f t="shared" si="93"/>
        <v>0</v>
      </c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M191" s="40">
        <f>IF(OR(V190=4,V190=8,V190=12,V190=16,V190=20),$CA$1,0)</f>
        <v>0</v>
      </c>
      <c r="BN191" s="40">
        <f>IF(OR(W190=4,W190=8,W190=12,W190=16,W190=20),$CA$1,0)</f>
        <v>0</v>
      </c>
      <c r="BO191" s="40">
        <f>IF(OR(X190=4,X190=8,X190=12,X190=16,X190=20),$CA$1,0)</f>
        <v>0</v>
      </c>
      <c r="BP191" s="40">
        <f>IF(OR(Y190=4,Y190=8,Y190=12,Y190=16,Y190=20),$CA$1,0)</f>
        <v>0</v>
      </c>
      <c r="BQ191" s="40">
        <f>IF(OR(Z190=4,Z190=8,Z190=12,Z190=16,Z190=20),$CA$1,0)</f>
        <v>0</v>
      </c>
      <c r="BR191" s="40">
        <f>IF(OR(AA190=4,AA190=8,AA190=12,AA190=16,AA190=20),$CA$1,0)</f>
        <v>0</v>
      </c>
      <c r="BS191" s="40">
        <f>IF(V187=20,$CB$1,0)</f>
        <v>0</v>
      </c>
      <c r="BT191" s="40">
        <f>IF(W187=20,$CB$1,0)</f>
        <v>0</v>
      </c>
      <c r="BU191" s="40">
        <f>IF(X187=20,$CB$1,0)</f>
        <v>0</v>
      </c>
      <c r="BV191" s="40">
        <f>IF(Y187=20,$CB$1,0)</f>
        <v>0</v>
      </c>
      <c r="BW191" s="40">
        <f>IF(Z187=20,$CB$1,0)</f>
        <v>0</v>
      </c>
      <c r="BX191" s="40">
        <f>IF(AA187=20,$CB$1,0)</f>
        <v>0</v>
      </c>
      <c r="BY191" s="41">
        <f t="shared" si="94"/>
        <v>0</v>
      </c>
      <c r="BZ191" s="41">
        <f t="shared" si="95"/>
        <v>0</v>
      </c>
      <c r="CA191" s="58">
        <f t="shared" si="98"/>
        <v>44410</v>
      </c>
      <c r="CB191" s="47">
        <f>IF(E191=E192,0,BZ191)</f>
        <v>0</v>
      </c>
    </row>
    <row r="192" spans="2:80" ht="15" outlineLevel="1" x14ac:dyDescent="0.2">
      <c r="B192" s="18">
        <f t="shared" si="69"/>
        <v>44417</v>
      </c>
      <c r="C192" s="17" t="s">
        <v>1</v>
      </c>
      <c r="D192" s="19">
        <f t="shared" si="70"/>
        <v>44423</v>
      </c>
      <c r="E192" s="20">
        <f t="shared" si="71"/>
        <v>8</v>
      </c>
      <c r="F192" s="21">
        <f t="shared" si="72"/>
        <v>2021</v>
      </c>
      <c r="G192" s="11">
        <f t="shared" si="100"/>
        <v>22</v>
      </c>
      <c r="H192" s="10">
        <f t="shared" si="100"/>
        <v>66</v>
      </c>
      <c r="I192" s="11"/>
      <c r="J192" s="11"/>
      <c r="K192" s="11"/>
      <c r="L192" s="11"/>
      <c r="M192" s="11"/>
      <c r="N192" s="11"/>
      <c r="O192" s="14"/>
      <c r="P192" s="14"/>
      <c r="Q192" s="14"/>
      <c r="R192" s="14"/>
      <c r="S192" s="14"/>
      <c r="T192" s="14"/>
      <c r="V192" s="22">
        <f t="shared" si="99"/>
        <v>17</v>
      </c>
      <c r="W192" s="22">
        <f t="shared" si="99"/>
        <v>0</v>
      </c>
      <c r="X192" s="22">
        <f t="shared" si="99"/>
        <v>0</v>
      </c>
      <c r="Y192" s="22">
        <f t="shared" si="99"/>
        <v>0</v>
      </c>
      <c r="Z192" s="22">
        <f t="shared" si="99"/>
        <v>0</v>
      </c>
      <c r="AA192" s="22">
        <f t="shared" si="99"/>
        <v>0</v>
      </c>
      <c r="AB192" s="1"/>
      <c r="AC192" s="5">
        <f t="shared" si="78"/>
        <v>0</v>
      </c>
      <c r="AD192" s="5">
        <f t="shared" si="79"/>
        <v>0</v>
      </c>
      <c r="AE192" s="5">
        <f t="shared" si="80"/>
        <v>44</v>
      </c>
      <c r="AF192" s="5">
        <f t="shared" si="81"/>
        <v>0</v>
      </c>
      <c r="AG192" s="5">
        <f t="shared" si="82"/>
        <v>0</v>
      </c>
      <c r="AH192" s="5">
        <f t="shared" si="83"/>
        <v>0</v>
      </c>
      <c r="AI192" s="5">
        <f t="shared" si="84"/>
        <v>0</v>
      </c>
      <c r="AJ192" s="5">
        <f t="shared" si="85"/>
        <v>0</v>
      </c>
      <c r="AK192" s="5">
        <f t="shared" si="86"/>
        <v>0</v>
      </c>
      <c r="AL192" s="5">
        <f t="shared" si="87"/>
        <v>0</v>
      </c>
      <c r="AM192" s="5">
        <f t="shared" si="88"/>
        <v>0</v>
      </c>
      <c r="AN192" s="5">
        <f t="shared" si="89"/>
        <v>0</v>
      </c>
      <c r="AO192" s="5">
        <f t="shared" si="90"/>
        <v>0</v>
      </c>
      <c r="AP192" s="5">
        <f t="shared" si="91"/>
        <v>0</v>
      </c>
      <c r="AQ192" s="5">
        <f t="shared" si="92"/>
        <v>0</v>
      </c>
      <c r="AR192" s="5">
        <f t="shared" si="93"/>
        <v>0</v>
      </c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M192" s="40">
        <f>IF(OR(V191=4,V191=8,V191=12,V191=16,V191=20),$CA$1,0)</f>
        <v>161491.14583333334</v>
      </c>
      <c r="BN192" s="40">
        <f>IF(OR(W191=4,W191=8,W191=12,W191=16,W191=20),$CA$1,0)</f>
        <v>0</v>
      </c>
      <c r="BO192" s="40">
        <f>IF(OR(X191=4,X191=8,X191=12,X191=16,X191=20),$CA$1,0)</f>
        <v>0</v>
      </c>
      <c r="BP192" s="40">
        <f>IF(OR(Y191=4,Y191=8,Y191=12,Y191=16,Y191=20),$CA$1,0)</f>
        <v>0</v>
      </c>
      <c r="BQ192" s="40">
        <f>IF(OR(Z191=4,Z191=8,Z191=12,Z191=16,Z191=20),$CA$1,0)</f>
        <v>0</v>
      </c>
      <c r="BR192" s="40">
        <f>IF(OR(AA191=4,AA191=8,AA191=12,AA191=16,AA191=20),$CA$1,0)</f>
        <v>0</v>
      </c>
      <c r="BS192" s="40">
        <f>IF(V188=20,$CB$1,0)</f>
        <v>0</v>
      </c>
      <c r="BT192" s="40">
        <f>IF(W188=20,$CB$1,0)</f>
        <v>0</v>
      </c>
      <c r="BU192" s="40">
        <f>IF(X188=20,$CB$1,0)</f>
        <v>0</v>
      </c>
      <c r="BV192" s="40">
        <f>IF(Y188=20,$CB$1,0)</f>
        <v>0</v>
      </c>
      <c r="BW192" s="40">
        <f>IF(Z188=20,$CB$1,0)</f>
        <v>0</v>
      </c>
      <c r="BX192" s="40">
        <f>IF(AA188=20,$CB$1,0)</f>
        <v>0</v>
      </c>
      <c r="BY192" s="41">
        <f t="shared" si="94"/>
        <v>161491.14583333334</v>
      </c>
      <c r="BZ192" s="41">
        <f t="shared" si="95"/>
        <v>161491.14583333334</v>
      </c>
      <c r="CA192" s="58">
        <f t="shared" si="98"/>
        <v>44417</v>
      </c>
      <c r="CB192" s="47">
        <f>IF(E192=E193,0,BZ192)</f>
        <v>0</v>
      </c>
    </row>
    <row r="193" spans="1:80" ht="15" outlineLevel="1" x14ac:dyDescent="0.2">
      <c r="B193" s="18">
        <f t="shared" si="69"/>
        <v>44424</v>
      </c>
      <c r="C193" s="17" t="s">
        <v>1</v>
      </c>
      <c r="D193" s="19">
        <f t="shared" si="70"/>
        <v>44430</v>
      </c>
      <c r="E193" s="20">
        <f t="shared" si="71"/>
        <v>8</v>
      </c>
      <c r="F193" s="21">
        <f t="shared" si="72"/>
        <v>2021</v>
      </c>
      <c r="G193" s="11">
        <f t="shared" si="100"/>
        <v>22</v>
      </c>
      <c r="H193" s="10">
        <f t="shared" si="100"/>
        <v>66</v>
      </c>
      <c r="I193" s="11"/>
      <c r="J193" s="11"/>
      <c r="K193" s="11"/>
      <c r="L193" s="11"/>
      <c r="M193" s="11"/>
      <c r="N193" s="11"/>
      <c r="O193" s="14"/>
      <c r="P193" s="14"/>
      <c r="Q193" s="14"/>
      <c r="R193" s="14"/>
      <c r="S193" s="14"/>
      <c r="T193" s="14"/>
      <c r="V193" s="22">
        <f t="shared" si="99"/>
        <v>18</v>
      </c>
      <c r="W193" s="22">
        <f t="shared" si="99"/>
        <v>0</v>
      </c>
      <c r="X193" s="22">
        <f t="shared" si="99"/>
        <v>0</v>
      </c>
      <c r="Y193" s="22">
        <f t="shared" si="99"/>
        <v>0</v>
      </c>
      <c r="Z193" s="22">
        <f t="shared" si="99"/>
        <v>0</v>
      </c>
      <c r="AA193" s="22">
        <f t="shared" si="99"/>
        <v>0</v>
      </c>
      <c r="AB193" s="1"/>
      <c r="AC193" s="5">
        <f t="shared" si="78"/>
        <v>0</v>
      </c>
      <c r="AD193" s="5">
        <f t="shared" si="79"/>
        <v>0</v>
      </c>
      <c r="AE193" s="5">
        <f t="shared" si="80"/>
        <v>45</v>
      </c>
      <c r="AF193" s="5">
        <f t="shared" si="81"/>
        <v>0</v>
      </c>
      <c r="AG193" s="5">
        <f t="shared" si="82"/>
        <v>0</v>
      </c>
      <c r="AH193" s="5">
        <f t="shared" si="83"/>
        <v>0</v>
      </c>
      <c r="AI193" s="5">
        <f t="shared" si="84"/>
        <v>0</v>
      </c>
      <c r="AJ193" s="5">
        <f t="shared" si="85"/>
        <v>0</v>
      </c>
      <c r="AK193" s="5">
        <f t="shared" si="86"/>
        <v>0</v>
      </c>
      <c r="AL193" s="5">
        <f t="shared" si="87"/>
        <v>0</v>
      </c>
      <c r="AM193" s="5">
        <f t="shared" si="88"/>
        <v>0</v>
      </c>
      <c r="AN193" s="5">
        <f t="shared" si="89"/>
        <v>0</v>
      </c>
      <c r="AO193" s="5">
        <f t="shared" si="90"/>
        <v>0</v>
      </c>
      <c r="AP193" s="5">
        <f t="shared" si="91"/>
        <v>0</v>
      </c>
      <c r="AQ193" s="5">
        <f t="shared" si="92"/>
        <v>0</v>
      </c>
      <c r="AR193" s="5">
        <f t="shared" si="93"/>
        <v>0</v>
      </c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M193" s="40">
        <f>IF(OR(V192=4,V192=8,V192=12,V192=16,V192=20),$CA$1,0)</f>
        <v>0</v>
      </c>
      <c r="BN193" s="40">
        <f>IF(OR(W192=4,W192=8,W192=12,W192=16,W192=20),$CA$1,0)</f>
        <v>0</v>
      </c>
      <c r="BO193" s="40">
        <f>IF(OR(X192=4,X192=8,X192=12,X192=16,X192=20),$CA$1,0)</f>
        <v>0</v>
      </c>
      <c r="BP193" s="40">
        <f>IF(OR(Y192=4,Y192=8,Y192=12,Y192=16,Y192=20),$CA$1,0)</f>
        <v>0</v>
      </c>
      <c r="BQ193" s="40">
        <f>IF(OR(Z192=4,Z192=8,Z192=12,Z192=16,Z192=20),$CA$1,0)</f>
        <v>0</v>
      </c>
      <c r="BR193" s="40">
        <f>IF(OR(AA192=4,AA192=8,AA192=12,AA192=16,AA192=20),$CA$1,0)</f>
        <v>0</v>
      </c>
      <c r="BS193" s="40">
        <f>IF(V189=20,$CB$1,0)</f>
        <v>0</v>
      </c>
      <c r="BT193" s="40">
        <f>IF(W189=20,$CB$1,0)</f>
        <v>0</v>
      </c>
      <c r="BU193" s="40">
        <f>IF(X189=20,$CB$1,0)</f>
        <v>0</v>
      </c>
      <c r="BV193" s="40">
        <f>IF(Y189=20,$CB$1,0)</f>
        <v>0</v>
      </c>
      <c r="BW193" s="40">
        <f>IF(Z189=20,$CB$1,0)</f>
        <v>0</v>
      </c>
      <c r="BX193" s="40">
        <f>IF(AA189=20,$CB$1,0)</f>
        <v>0</v>
      </c>
      <c r="BY193" s="41">
        <f t="shared" si="94"/>
        <v>0</v>
      </c>
      <c r="BZ193" s="41">
        <f t="shared" si="95"/>
        <v>161491.14583333334</v>
      </c>
      <c r="CA193" s="58">
        <f t="shared" si="98"/>
        <v>44424</v>
      </c>
      <c r="CB193" s="47">
        <f>IF(E193=E194,0,BZ193)</f>
        <v>0</v>
      </c>
    </row>
    <row r="194" spans="1:80" ht="15" outlineLevel="1" x14ac:dyDescent="0.2">
      <c r="B194" s="18">
        <f t="shared" si="69"/>
        <v>44431</v>
      </c>
      <c r="C194" s="17" t="s">
        <v>1</v>
      </c>
      <c r="D194" s="19">
        <f t="shared" si="70"/>
        <v>44437</v>
      </c>
      <c r="E194" s="20">
        <f t="shared" si="71"/>
        <v>8</v>
      </c>
      <c r="F194" s="21">
        <f t="shared" si="72"/>
        <v>2021</v>
      </c>
      <c r="G194" s="11">
        <f t="shared" si="100"/>
        <v>22</v>
      </c>
      <c r="H194" s="10">
        <f t="shared" si="100"/>
        <v>66</v>
      </c>
      <c r="I194" s="11"/>
      <c r="J194" s="11"/>
      <c r="K194" s="11"/>
      <c r="L194" s="11"/>
      <c r="M194" s="11"/>
      <c r="N194" s="11"/>
      <c r="O194" s="14"/>
      <c r="P194" s="14"/>
      <c r="Q194" s="14"/>
      <c r="R194" s="14"/>
      <c r="S194" s="14"/>
      <c r="T194" s="14"/>
      <c r="V194" s="22">
        <f t="shared" si="99"/>
        <v>19</v>
      </c>
      <c r="W194" s="22">
        <f t="shared" si="99"/>
        <v>0</v>
      </c>
      <c r="X194" s="22">
        <f t="shared" si="99"/>
        <v>0</v>
      </c>
      <c r="Y194" s="22">
        <f t="shared" si="99"/>
        <v>0</v>
      </c>
      <c r="Z194" s="22">
        <f t="shared" si="99"/>
        <v>0</v>
      </c>
      <c r="AA194" s="22">
        <f t="shared" si="99"/>
        <v>0</v>
      </c>
      <c r="AB194" s="1"/>
      <c r="AC194" s="5">
        <f t="shared" si="78"/>
        <v>0</v>
      </c>
      <c r="AD194" s="5">
        <f t="shared" si="79"/>
        <v>0</v>
      </c>
      <c r="AE194" s="5">
        <f t="shared" si="80"/>
        <v>46</v>
      </c>
      <c r="AF194" s="5">
        <f t="shared" si="81"/>
        <v>0</v>
      </c>
      <c r="AG194" s="5">
        <f t="shared" si="82"/>
        <v>0</v>
      </c>
      <c r="AH194" s="5">
        <f t="shared" si="83"/>
        <v>0</v>
      </c>
      <c r="AI194" s="5">
        <f t="shared" si="84"/>
        <v>0</v>
      </c>
      <c r="AJ194" s="5">
        <f t="shared" si="85"/>
        <v>0</v>
      </c>
      <c r="AK194" s="5">
        <f t="shared" si="86"/>
        <v>0</v>
      </c>
      <c r="AL194" s="5">
        <f t="shared" si="87"/>
        <v>0</v>
      </c>
      <c r="AM194" s="5">
        <f t="shared" si="88"/>
        <v>0</v>
      </c>
      <c r="AN194" s="5">
        <f t="shared" si="89"/>
        <v>0</v>
      </c>
      <c r="AO194" s="5">
        <f t="shared" si="90"/>
        <v>0</v>
      </c>
      <c r="AP194" s="5">
        <f t="shared" si="91"/>
        <v>0</v>
      </c>
      <c r="AQ194" s="5">
        <f t="shared" si="92"/>
        <v>0</v>
      </c>
      <c r="AR194" s="5">
        <f t="shared" si="93"/>
        <v>0</v>
      </c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M194" s="40">
        <f>IF(OR(V193=4,V193=8,V193=12,V193=16,V193=20),$CA$1,0)</f>
        <v>0</v>
      </c>
      <c r="BN194" s="40">
        <f>IF(OR(W193=4,W193=8,W193=12,W193=16,W193=20),$CA$1,0)</f>
        <v>0</v>
      </c>
      <c r="BO194" s="40">
        <f>IF(OR(X193=4,X193=8,X193=12,X193=16,X193=20),$CA$1,0)</f>
        <v>0</v>
      </c>
      <c r="BP194" s="40">
        <f>IF(OR(Y193=4,Y193=8,Y193=12,Y193=16,Y193=20),$CA$1,0)</f>
        <v>0</v>
      </c>
      <c r="BQ194" s="40">
        <f>IF(OR(Z193=4,Z193=8,Z193=12,Z193=16,Z193=20),$CA$1,0)</f>
        <v>0</v>
      </c>
      <c r="BR194" s="40">
        <f>IF(OR(AA193=4,AA193=8,AA193=12,AA193=16,AA193=20),$CA$1,0)</f>
        <v>0</v>
      </c>
      <c r="BS194" s="40">
        <f>IF(V190=20,$CB$1,0)</f>
        <v>0</v>
      </c>
      <c r="BT194" s="40">
        <f>IF(W190=20,$CB$1,0)</f>
        <v>0</v>
      </c>
      <c r="BU194" s="40">
        <f>IF(X190=20,$CB$1,0)</f>
        <v>0</v>
      </c>
      <c r="BV194" s="40">
        <f>IF(Y190=20,$CB$1,0)</f>
        <v>0</v>
      </c>
      <c r="BW194" s="40">
        <f>IF(Z190=20,$CB$1,0)</f>
        <v>0</v>
      </c>
      <c r="BX194" s="40">
        <f>IF(AA190=20,$CB$1,0)</f>
        <v>0</v>
      </c>
      <c r="BY194" s="41">
        <f t="shared" si="94"/>
        <v>0</v>
      </c>
      <c r="BZ194" s="41">
        <f t="shared" si="95"/>
        <v>161491.14583333334</v>
      </c>
      <c r="CA194" s="58">
        <f t="shared" si="98"/>
        <v>44431</v>
      </c>
      <c r="CB194" s="47">
        <f>IF(E194=E195,0,BZ194)</f>
        <v>0</v>
      </c>
    </row>
    <row r="195" spans="1:80" ht="15" outlineLevel="1" x14ac:dyDescent="0.2">
      <c r="B195" s="18">
        <f t="shared" si="69"/>
        <v>44438</v>
      </c>
      <c r="C195" s="17" t="s">
        <v>1</v>
      </c>
      <c r="D195" s="19">
        <f t="shared" si="70"/>
        <v>44444</v>
      </c>
      <c r="E195" s="20">
        <f t="shared" si="71"/>
        <v>8</v>
      </c>
      <c r="F195" s="21">
        <f t="shared" si="72"/>
        <v>2021</v>
      </c>
      <c r="G195" s="11">
        <f t="shared" si="100"/>
        <v>22</v>
      </c>
      <c r="H195" s="10">
        <f t="shared" si="100"/>
        <v>66</v>
      </c>
      <c r="I195" s="11"/>
      <c r="J195" s="11"/>
      <c r="K195" s="11"/>
      <c r="L195" s="11"/>
      <c r="M195" s="11"/>
      <c r="N195" s="11"/>
      <c r="O195" s="14"/>
      <c r="P195" s="14"/>
      <c r="Q195" s="14"/>
      <c r="R195" s="14"/>
      <c r="S195" s="14"/>
      <c r="T195" s="14"/>
      <c r="V195" s="22">
        <f t="shared" si="99"/>
        <v>20</v>
      </c>
      <c r="W195" s="22">
        <f t="shared" si="99"/>
        <v>0</v>
      </c>
      <c r="X195" s="22">
        <f t="shared" si="99"/>
        <v>0</v>
      </c>
      <c r="Y195" s="22">
        <f t="shared" si="99"/>
        <v>0</v>
      </c>
      <c r="Z195" s="22">
        <f t="shared" si="99"/>
        <v>0</v>
      </c>
      <c r="AA195" s="22">
        <f t="shared" si="99"/>
        <v>0</v>
      </c>
      <c r="AB195" s="1"/>
      <c r="AC195" s="5">
        <f t="shared" si="78"/>
        <v>0</v>
      </c>
      <c r="AD195" s="5">
        <f t="shared" si="79"/>
        <v>0</v>
      </c>
      <c r="AE195" s="5">
        <f t="shared" si="80"/>
        <v>47</v>
      </c>
      <c r="AF195" s="5">
        <f t="shared" si="81"/>
        <v>0</v>
      </c>
      <c r="AG195" s="5">
        <f t="shared" si="82"/>
        <v>0</v>
      </c>
      <c r="AH195" s="5">
        <f t="shared" si="83"/>
        <v>0</v>
      </c>
      <c r="AI195" s="5">
        <f t="shared" si="84"/>
        <v>0</v>
      </c>
      <c r="AJ195" s="5">
        <f t="shared" si="85"/>
        <v>0</v>
      </c>
      <c r="AK195" s="5">
        <f t="shared" si="86"/>
        <v>0</v>
      </c>
      <c r="AL195" s="5">
        <f t="shared" si="87"/>
        <v>0</v>
      </c>
      <c r="AM195" s="5">
        <f t="shared" si="88"/>
        <v>0</v>
      </c>
      <c r="AN195" s="5">
        <f t="shared" si="89"/>
        <v>0</v>
      </c>
      <c r="AO195" s="5">
        <f t="shared" si="90"/>
        <v>0</v>
      </c>
      <c r="AP195" s="5">
        <f t="shared" si="91"/>
        <v>0</v>
      </c>
      <c r="AQ195" s="5">
        <f t="shared" si="92"/>
        <v>0</v>
      </c>
      <c r="AR195" s="5">
        <f t="shared" si="93"/>
        <v>0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M195" s="40">
        <f>IF(OR(V194=4,V194=8,V194=12,V194=16,V194=20),$CA$1,0)</f>
        <v>0</v>
      </c>
      <c r="BN195" s="40">
        <f>IF(OR(W194=4,W194=8,W194=12,W194=16,W194=20),$CA$1,0)</f>
        <v>0</v>
      </c>
      <c r="BO195" s="40">
        <f>IF(OR(X194=4,X194=8,X194=12,X194=16,X194=20),$CA$1,0)</f>
        <v>0</v>
      </c>
      <c r="BP195" s="40">
        <f>IF(OR(Y194=4,Y194=8,Y194=12,Y194=16,Y194=20),$CA$1,0)</f>
        <v>0</v>
      </c>
      <c r="BQ195" s="40">
        <f>IF(OR(Z194=4,Z194=8,Z194=12,Z194=16,Z194=20),$CA$1,0)</f>
        <v>0</v>
      </c>
      <c r="BR195" s="40">
        <f>IF(OR(AA194=4,AA194=8,AA194=12,AA194=16,AA194=20),$CA$1,0)</f>
        <v>0</v>
      </c>
      <c r="BS195" s="40">
        <f>IF(V191=20,$CB$1,0)</f>
        <v>0</v>
      </c>
      <c r="BT195" s="40">
        <f>IF(W191=20,$CB$1,0)</f>
        <v>0</v>
      </c>
      <c r="BU195" s="40">
        <f>IF(X191=20,$CB$1,0)</f>
        <v>0</v>
      </c>
      <c r="BV195" s="40">
        <f>IF(Y191=20,$CB$1,0)</f>
        <v>0</v>
      </c>
      <c r="BW195" s="40">
        <f>IF(Z191=20,$CB$1,0)</f>
        <v>0</v>
      </c>
      <c r="BX195" s="40">
        <f>IF(AA191=20,$CB$1,0)</f>
        <v>0</v>
      </c>
      <c r="BY195" s="41">
        <f t="shared" si="94"/>
        <v>0</v>
      </c>
      <c r="BZ195" s="41">
        <f t="shared" si="95"/>
        <v>161491.14583333334</v>
      </c>
      <c r="CA195" s="58">
        <f t="shared" si="98"/>
        <v>44438</v>
      </c>
      <c r="CB195" s="47">
        <f>IF(E195=E196,0,BZ195)</f>
        <v>161491.14583333334</v>
      </c>
    </row>
    <row r="196" spans="1:80" ht="15" outlineLevel="1" x14ac:dyDescent="0.2">
      <c r="B196" s="18">
        <f t="shared" si="69"/>
        <v>44445</v>
      </c>
      <c r="C196" s="17" t="s">
        <v>1</v>
      </c>
      <c r="D196" s="19">
        <f t="shared" si="70"/>
        <v>44451</v>
      </c>
      <c r="E196" s="20">
        <f t="shared" si="71"/>
        <v>9</v>
      </c>
      <c r="F196" s="21">
        <f t="shared" si="72"/>
        <v>2021</v>
      </c>
      <c r="G196" s="11">
        <f t="shared" si="100"/>
        <v>22</v>
      </c>
      <c r="H196" s="10">
        <f t="shared" si="100"/>
        <v>66</v>
      </c>
      <c r="I196" s="11"/>
      <c r="J196" s="11"/>
      <c r="K196" s="11"/>
      <c r="L196" s="11"/>
      <c r="M196" s="11"/>
      <c r="N196" s="11"/>
      <c r="O196" s="14"/>
      <c r="P196" s="14"/>
      <c r="Q196" s="14"/>
      <c r="R196" s="14"/>
      <c r="S196" s="14"/>
      <c r="T196" s="14"/>
      <c r="V196" s="22">
        <f t="shared" ref="V196:AA211" si="101">IF(I196&gt;0,I196,IF(O196=1,$B196+2,IF(O195=1,1,IF(O195=2,0,IF(V195=$G195,0,(IF(V195&gt;=1,V195+1,0)))))))</f>
        <v>21</v>
      </c>
      <c r="W196" s="22">
        <f t="shared" si="101"/>
        <v>0</v>
      </c>
      <c r="X196" s="22">
        <f t="shared" si="101"/>
        <v>0</v>
      </c>
      <c r="Y196" s="22">
        <f t="shared" si="101"/>
        <v>0</v>
      </c>
      <c r="Z196" s="22">
        <f t="shared" si="101"/>
        <v>0</v>
      </c>
      <c r="AA196" s="22">
        <f t="shared" si="101"/>
        <v>0</v>
      </c>
      <c r="AB196" s="1"/>
      <c r="AC196" s="5">
        <f t="shared" si="78"/>
        <v>0</v>
      </c>
      <c r="AD196" s="5">
        <f t="shared" si="79"/>
        <v>0</v>
      </c>
      <c r="AE196" s="5">
        <f t="shared" si="80"/>
        <v>48</v>
      </c>
      <c r="AF196" s="5">
        <f t="shared" si="81"/>
        <v>0</v>
      </c>
      <c r="AG196" s="5">
        <f t="shared" si="82"/>
        <v>0</v>
      </c>
      <c r="AH196" s="5">
        <f t="shared" si="83"/>
        <v>0</v>
      </c>
      <c r="AI196" s="5">
        <f t="shared" si="84"/>
        <v>0</v>
      </c>
      <c r="AJ196" s="5">
        <f t="shared" si="85"/>
        <v>0</v>
      </c>
      <c r="AK196" s="5">
        <f t="shared" si="86"/>
        <v>0</v>
      </c>
      <c r="AL196" s="5">
        <f t="shared" si="87"/>
        <v>0</v>
      </c>
      <c r="AM196" s="5">
        <f t="shared" si="88"/>
        <v>0</v>
      </c>
      <c r="AN196" s="5">
        <f t="shared" si="89"/>
        <v>0</v>
      </c>
      <c r="AO196" s="5">
        <f t="shared" si="90"/>
        <v>0</v>
      </c>
      <c r="AP196" s="5">
        <f t="shared" si="91"/>
        <v>0</v>
      </c>
      <c r="AQ196" s="5">
        <f t="shared" si="92"/>
        <v>0</v>
      </c>
      <c r="AR196" s="5">
        <f t="shared" si="93"/>
        <v>0</v>
      </c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M196" s="40">
        <f>IF(OR(V195=4,V195=8,V195=12,V195=16,V195=20),$CA$1,0)</f>
        <v>161491.14583333334</v>
      </c>
      <c r="BN196" s="40">
        <f>IF(OR(W195=4,W195=8,W195=12,W195=16,W195=20),$CA$1,0)</f>
        <v>0</v>
      </c>
      <c r="BO196" s="40">
        <f>IF(OR(X195=4,X195=8,X195=12,X195=16,X195=20),$CA$1,0)</f>
        <v>0</v>
      </c>
      <c r="BP196" s="40">
        <f>IF(OR(Y195=4,Y195=8,Y195=12,Y195=16,Y195=20),$CA$1,0)</f>
        <v>0</v>
      </c>
      <c r="BQ196" s="40">
        <f>IF(OR(Z195=4,Z195=8,Z195=12,Z195=16,Z195=20),$CA$1,0)</f>
        <v>0</v>
      </c>
      <c r="BR196" s="40">
        <f>IF(OR(AA195=4,AA195=8,AA195=12,AA195=16,AA195=20),$CA$1,0)</f>
        <v>0</v>
      </c>
      <c r="BS196" s="40">
        <f>IF(V192=20,$CB$1,0)</f>
        <v>0</v>
      </c>
      <c r="BT196" s="40">
        <f>IF(W192=20,$CB$1,0)</f>
        <v>0</v>
      </c>
      <c r="BU196" s="40">
        <f>IF(X192=20,$CB$1,0)</f>
        <v>0</v>
      </c>
      <c r="BV196" s="40">
        <f>IF(Y192=20,$CB$1,0)</f>
        <v>0</v>
      </c>
      <c r="BW196" s="40">
        <f>IF(Z192=20,$CB$1,0)</f>
        <v>0</v>
      </c>
      <c r="BX196" s="40">
        <f>IF(AA192=20,$CB$1,0)</f>
        <v>0</v>
      </c>
      <c r="BY196" s="41">
        <f t="shared" si="94"/>
        <v>161491.14583333334</v>
      </c>
      <c r="BZ196" s="41">
        <f t="shared" si="95"/>
        <v>161491.14583333334</v>
      </c>
      <c r="CA196" s="58">
        <f t="shared" si="98"/>
        <v>44445</v>
      </c>
      <c r="CB196" s="47">
        <f>IF(E196=E197,0,BZ196)</f>
        <v>0</v>
      </c>
    </row>
    <row r="197" spans="1:80" ht="15" outlineLevel="1" x14ac:dyDescent="0.2">
      <c r="B197" s="18">
        <f t="shared" ref="B197:B260" si="102">D196+1</f>
        <v>44452</v>
      </c>
      <c r="C197" s="17" t="s">
        <v>1</v>
      </c>
      <c r="D197" s="19">
        <f t="shared" ref="D197:D260" si="103">B197+6</f>
        <v>44458</v>
      </c>
      <c r="E197" s="20">
        <f t="shared" ref="E197:E260" si="104">MONTH(B197)</f>
        <v>9</v>
      </c>
      <c r="F197" s="21">
        <f t="shared" ref="F197:F260" si="105">YEAR(D197)</f>
        <v>2021</v>
      </c>
      <c r="G197" s="11">
        <f t="shared" si="100"/>
        <v>22</v>
      </c>
      <c r="H197" s="10">
        <f t="shared" si="100"/>
        <v>66</v>
      </c>
      <c r="I197" s="11"/>
      <c r="J197" s="11"/>
      <c r="K197" s="11"/>
      <c r="L197" s="11"/>
      <c r="M197" s="11"/>
      <c r="N197" s="11"/>
      <c r="O197" s="14"/>
      <c r="P197" s="14"/>
      <c r="Q197" s="14"/>
      <c r="R197" s="14"/>
      <c r="S197" s="14"/>
      <c r="T197" s="14"/>
      <c r="V197" s="22">
        <f>IF(I197&gt;0,I197,IF(O197=1,$B197+2,IF(O196=1,1,IF(O196=2,0,IF(V196=$G196,0,(IF(V196&gt;=1,V196+1,0)))))))</f>
        <v>22</v>
      </c>
      <c r="W197" s="22">
        <f t="shared" si="101"/>
        <v>0</v>
      </c>
      <c r="X197" s="22">
        <f t="shared" si="101"/>
        <v>0</v>
      </c>
      <c r="Y197" s="22">
        <f t="shared" si="101"/>
        <v>0</v>
      </c>
      <c r="Z197" s="22">
        <f t="shared" si="101"/>
        <v>0</v>
      </c>
      <c r="AA197" s="22">
        <f t="shared" si="101"/>
        <v>0</v>
      </c>
      <c r="AB197" s="1"/>
      <c r="AC197" s="5">
        <f t="shared" si="78"/>
        <v>22</v>
      </c>
      <c r="AD197" s="5">
        <f t="shared" si="79"/>
        <v>0</v>
      </c>
      <c r="AE197" s="5">
        <f t="shared" si="80"/>
        <v>49</v>
      </c>
      <c r="AF197" s="5">
        <f t="shared" si="81"/>
        <v>0</v>
      </c>
      <c r="AG197" s="5">
        <f t="shared" si="82"/>
        <v>0</v>
      </c>
      <c r="AH197" s="5">
        <f t="shared" si="83"/>
        <v>0</v>
      </c>
      <c r="AI197" s="5">
        <f t="shared" si="84"/>
        <v>0</v>
      </c>
      <c r="AJ197" s="5">
        <f t="shared" si="85"/>
        <v>0</v>
      </c>
      <c r="AK197" s="5">
        <f t="shared" si="86"/>
        <v>0</v>
      </c>
      <c r="AL197" s="5">
        <f t="shared" si="87"/>
        <v>0</v>
      </c>
      <c r="AM197" s="5">
        <f t="shared" si="88"/>
        <v>0</v>
      </c>
      <c r="AN197" s="5">
        <f t="shared" si="89"/>
        <v>0</v>
      </c>
      <c r="AO197" s="5">
        <f t="shared" si="90"/>
        <v>0</v>
      </c>
      <c r="AP197" s="5">
        <f t="shared" si="91"/>
        <v>0</v>
      </c>
      <c r="AQ197" s="5">
        <f t="shared" si="92"/>
        <v>0</v>
      </c>
      <c r="AR197" s="5">
        <f t="shared" si="93"/>
        <v>0</v>
      </c>
      <c r="AS197" s="10">
        <v>1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M197" s="40">
        <f>IF(OR(V196=4,V196=8,V196=12,V196=16,V196=20),$CA$1,0)</f>
        <v>0</v>
      </c>
      <c r="BN197" s="40">
        <f>IF(OR(W196=4,W196=8,W196=12,W196=16,W196=20),$CA$1,0)</f>
        <v>0</v>
      </c>
      <c r="BO197" s="40">
        <f>IF(OR(X196=4,X196=8,X196=12,X196=16,X196=20),$CA$1,0)</f>
        <v>0</v>
      </c>
      <c r="BP197" s="40">
        <f>IF(OR(Y196=4,Y196=8,Y196=12,Y196=16,Y196=20),$CA$1,0)</f>
        <v>0</v>
      </c>
      <c r="BQ197" s="40">
        <f>IF(OR(Z196=4,Z196=8,Z196=12,Z196=16,Z196=20),$CA$1,0)</f>
        <v>0</v>
      </c>
      <c r="BR197" s="40">
        <f>IF(OR(AA196=4,AA196=8,AA196=12,AA196=16,AA196=20),$CA$1,0)</f>
        <v>0</v>
      </c>
      <c r="BS197" s="40">
        <f>IF(V193=20,$CB$1,0)</f>
        <v>0</v>
      </c>
      <c r="BT197" s="40">
        <f>IF(W193=20,$CB$1,0)</f>
        <v>0</v>
      </c>
      <c r="BU197" s="40">
        <f>IF(X193=20,$CB$1,0)</f>
        <v>0</v>
      </c>
      <c r="BV197" s="40">
        <f>IF(Y193=20,$CB$1,0)</f>
        <v>0</v>
      </c>
      <c r="BW197" s="40">
        <f>IF(Z193=20,$CB$1,0)</f>
        <v>0</v>
      </c>
      <c r="BX197" s="40">
        <f>IF(AA193=20,$CB$1,0)</f>
        <v>0</v>
      </c>
      <c r="BY197" s="41">
        <f t="shared" si="94"/>
        <v>0</v>
      </c>
      <c r="BZ197" s="41">
        <f t="shared" si="95"/>
        <v>161491.14583333334</v>
      </c>
      <c r="CA197" s="58">
        <f t="shared" si="98"/>
        <v>44452</v>
      </c>
      <c r="CB197" s="47">
        <f>IF(E197=E198,0,BZ197)</f>
        <v>0</v>
      </c>
    </row>
    <row r="198" spans="1:80" ht="15" outlineLevel="1" x14ac:dyDescent="0.2">
      <c r="B198" s="18">
        <f t="shared" si="102"/>
        <v>44459</v>
      </c>
      <c r="C198" s="17" t="s">
        <v>1</v>
      </c>
      <c r="D198" s="19">
        <f t="shared" si="103"/>
        <v>44465</v>
      </c>
      <c r="E198" s="20">
        <f t="shared" si="104"/>
        <v>9</v>
      </c>
      <c r="F198" s="21">
        <f t="shared" si="105"/>
        <v>2021</v>
      </c>
      <c r="G198" s="11">
        <f t="shared" ref="G198:H213" si="106">G197</f>
        <v>22</v>
      </c>
      <c r="H198" s="10">
        <f t="shared" si="106"/>
        <v>66</v>
      </c>
      <c r="I198" s="11"/>
      <c r="J198" s="11"/>
      <c r="K198" s="11"/>
      <c r="L198" s="11"/>
      <c r="M198" s="11"/>
      <c r="N198" s="11"/>
      <c r="O198" s="14"/>
      <c r="P198" s="14"/>
      <c r="Q198" s="14"/>
      <c r="R198" s="14"/>
      <c r="S198" s="14"/>
      <c r="T198" s="14"/>
      <c r="V198" s="22">
        <f t="shared" si="101"/>
        <v>0</v>
      </c>
      <c r="W198" s="22">
        <f t="shared" si="101"/>
        <v>0</v>
      </c>
      <c r="X198" s="22">
        <f t="shared" si="101"/>
        <v>0</v>
      </c>
      <c r="Y198" s="22">
        <f t="shared" si="101"/>
        <v>0</v>
      </c>
      <c r="Z198" s="22">
        <f t="shared" si="101"/>
        <v>0</v>
      </c>
      <c r="AA198" s="22">
        <f t="shared" si="101"/>
        <v>0</v>
      </c>
      <c r="AB198" s="1"/>
      <c r="AC198" s="5">
        <f t="shared" si="78"/>
        <v>23</v>
      </c>
      <c r="AD198" s="5">
        <f t="shared" si="79"/>
        <v>0</v>
      </c>
      <c r="AE198" s="5">
        <f t="shared" si="80"/>
        <v>50</v>
      </c>
      <c r="AF198" s="5">
        <f t="shared" si="81"/>
        <v>0</v>
      </c>
      <c r="AG198" s="5">
        <f t="shared" si="82"/>
        <v>0</v>
      </c>
      <c r="AH198" s="5">
        <f t="shared" si="83"/>
        <v>0</v>
      </c>
      <c r="AI198" s="5">
        <f t="shared" si="84"/>
        <v>0</v>
      </c>
      <c r="AJ198" s="5">
        <f t="shared" si="85"/>
        <v>0</v>
      </c>
      <c r="AK198" s="5">
        <f t="shared" si="86"/>
        <v>0</v>
      </c>
      <c r="AL198" s="5">
        <f t="shared" si="87"/>
        <v>0</v>
      </c>
      <c r="AM198" s="5">
        <f t="shared" si="88"/>
        <v>0</v>
      </c>
      <c r="AN198" s="5">
        <f t="shared" si="89"/>
        <v>0</v>
      </c>
      <c r="AO198" s="5">
        <f t="shared" si="90"/>
        <v>0</v>
      </c>
      <c r="AP198" s="5">
        <f t="shared" si="91"/>
        <v>0</v>
      </c>
      <c r="AQ198" s="5">
        <f t="shared" si="92"/>
        <v>0</v>
      </c>
      <c r="AR198" s="5">
        <f t="shared" si="93"/>
        <v>0</v>
      </c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M198" s="40">
        <f>IF(OR(V197=4,V197=8,V197=12,V197=16,V197=20),$CA$1,0)</f>
        <v>0</v>
      </c>
      <c r="BN198" s="40">
        <f>IF(OR(W197=4,W197=8,W197=12,W197=16,W197=20),$CA$1,0)</f>
        <v>0</v>
      </c>
      <c r="BO198" s="40">
        <f>IF(OR(X197=4,X197=8,X197=12,X197=16,X197=20),$CA$1,0)</f>
        <v>0</v>
      </c>
      <c r="BP198" s="40">
        <f>IF(OR(Y197=4,Y197=8,Y197=12,Y197=16,Y197=20),$CA$1,0)</f>
        <v>0</v>
      </c>
      <c r="BQ198" s="40">
        <f>IF(OR(Z197=4,Z197=8,Z197=12,Z197=16,Z197=20),$CA$1,0)</f>
        <v>0</v>
      </c>
      <c r="BR198" s="40">
        <f>IF(OR(AA197=4,AA197=8,AA197=12,AA197=16,AA197=20),$CA$1,0)</f>
        <v>0</v>
      </c>
      <c r="BS198" s="40">
        <f>IF(V194=20,$CB$1,0)</f>
        <v>0</v>
      </c>
      <c r="BT198" s="40">
        <f>IF(W194=20,$CB$1,0)</f>
        <v>0</v>
      </c>
      <c r="BU198" s="40">
        <f>IF(X194=20,$CB$1,0)</f>
        <v>0</v>
      </c>
      <c r="BV198" s="40">
        <f>IF(Y194=20,$CB$1,0)</f>
        <v>0</v>
      </c>
      <c r="BW198" s="40">
        <f>IF(Z194=20,$CB$1,0)</f>
        <v>0</v>
      </c>
      <c r="BX198" s="40">
        <f>IF(AA194=20,$CB$1,0)</f>
        <v>0</v>
      </c>
      <c r="BY198" s="41">
        <f t="shared" si="94"/>
        <v>0</v>
      </c>
      <c r="BZ198" s="41">
        <f t="shared" si="95"/>
        <v>161491.14583333334</v>
      </c>
      <c r="CA198" s="58">
        <f t="shared" si="98"/>
        <v>44459</v>
      </c>
      <c r="CB198" s="47">
        <f>IF(E198=E199,0,BZ198)</f>
        <v>0</v>
      </c>
    </row>
    <row r="199" spans="1:80" ht="15" outlineLevel="1" x14ac:dyDescent="0.2">
      <c r="B199" s="18">
        <f t="shared" si="102"/>
        <v>44466</v>
      </c>
      <c r="C199" s="17" t="s">
        <v>1</v>
      </c>
      <c r="D199" s="19">
        <f t="shared" si="103"/>
        <v>44472</v>
      </c>
      <c r="E199" s="20">
        <f t="shared" si="104"/>
        <v>9</v>
      </c>
      <c r="F199" s="21">
        <f t="shared" si="105"/>
        <v>2021</v>
      </c>
      <c r="G199" s="11">
        <f t="shared" si="106"/>
        <v>22</v>
      </c>
      <c r="H199" s="10">
        <f t="shared" si="106"/>
        <v>66</v>
      </c>
      <c r="I199" s="11"/>
      <c r="J199" s="11"/>
      <c r="K199" s="11"/>
      <c r="L199" s="11"/>
      <c r="M199" s="11"/>
      <c r="N199" s="11"/>
      <c r="O199" s="14"/>
      <c r="P199" s="14"/>
      <c r="Q199" s="14"/>
      <c r="R199" s="14"/>
      <c r="S199" s="14"/>
      <c r="T199" s="14"/>
      <c r="V199" s="22">
        <f t="shared" si="101"/>
        <v>0</v>
      </c>
      <c r="W199" s="22">
        <f t="shared" si="101"/>
        <v>0</v>
      </c>
      <c r="X199" s="22">
        <f t="shared" si="101"/>
        <v>0</v>
      </c>
      <c r="Y199" s="22">
        <f t="shared" si="101"/>
        <v>0</v>
      </c>
      <c r="Z199" s="22">
        <f t="shared" si="101"/>
        <v>0</v>
      </c>
      <c r="AA199" s="22">
        <f t="shared" si="101"/>
        <v>0</v>
      </c>
      <c r="AB199" s="1"/>
      <c r="AC199" s="5">
        <f t="shared" si="78"/>
        <v>24</v>
      </c>
      <c r="AD199" s="5">
        <f t="shared" si="79"/>
        <v>0</v>
      </c>
      <c r="AE199" s="5">
        <f t="shared" si="80"/>
        <v>51</v>
      </c>
      <c r="AF199" s="5">
        <f t="shared" si="81"/>
        <v>0</v>
      </c>
      <c r="AG199" s="5">
        <f t="shared" si="82"/>
        <v>0</v>
      </c>
      <c r="AH199" s="5">
        <f t="shared" si="83"/>
        <v>0</v>
      </c>
      <c r="AI199" s="5">
        <f t="shared" si="84"/>
        <v>0</v>
      </c>
      <c r="AJ199" s="5">
        <f t="shared" si="85"/>
        <v>0</v>
      </c>
      <c r="AK199" s="5">
        <f t="shared" si="86"/>
        <v>0</v>
      </c>
      <c r="AL199" s="5">
        <f t="shared" si="87"/>
        <v>0</v>
      </c>
      <c r="AM199" s="5">
        <f t="shared" si="88"/>
        <v>0</v>
      </c>
      <c r="AN199" s="5">
        <f t="shared" si="89"/>
        <v>0</v>
      </c>
      <c r="AO199" s="5">
        <f t="shared" si="90"/>
        <v>0</v>
      </c>
      <c r="AP199" s="5">
        <f t="shared" si="91"/>
        <v>0</v>
      </c>
      <c r="AQ199" s="5">
        <f t="shared" si="92"/>
        <v>0</v>
      </c>
      <c r="AR199" s="5">
        <f t="shared" si="93"/>
        <v>0</v>
      </c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M199" s="40">
        <f>IF(OR(V198=4,V198=8,V198=12,V198=16,V198=20),$CA$1,0)</f>
        <v>0</v>
      </c>
      <c r="BN199" s="40">
        <f>IF(OR(W198=4,W198=8,W198=12,W198=16,W198=20),$CA$1,0)</f>
        <v>0</v>
      </c>
      <c r="BO199" s="40">
        <f>IF(OR(X198=4,X198=8,X198=12,X198=16,X198=20),$CA$1,0)</f>
        <v>0</v>
      </c>
      <c r="BP199" s="40">
        <f>IF(OR(Y198=4,Y198=8,Y198=12,Y198=16,Y198=20),$CA$1,0)</f>
        <v>0</v>
      </c>
      <c r="BQ199" s="40">
        <f>IF(OR(Z198=4,Z198=8,Z198=12,Z198=16,Z198=20),$CA$1,0)</f>
        <v>0</v>
      </c>
      <c r="BR199" s="40">
        <f>IF(OR(AA198=4,AA198=8,AA198=12,AA198=16,AA198=20),$CA$1,0)</f>
        <v>0</v>
      </c>
      <c r="BS199" s="40">
        <f>IF(V195=20,$CB$1,0)</f>
        <v>651525.49583333335</v>
      </c>
      <c r="BT199" s="40">
        <f>IF(W195=20,$CB$1,0)</f>
        <v>0</v>
      </c>
      <c r="BU199" s="40">
        <f>IF(X195=20,$CB$1,0)</f>
        <v>0</v>
      </c>
      <c r="BV199" s="40">
        <f>IF(Y195=20,$CB$1,0)</f>
        <v>0</v>
      </c>
      <c r="BW199" s="40">
        <f>IF(Z195=20,$CB$1,0)</f>
        <v>0</v>
      </c>
      <c r="BX199" s="40">
        <f>IF(AA195=20,$CB$1,0)</f>
        <v>0</v>
      </c>
      <c r="BY199" s="41">
        <f t="shared" ref="BY199:BY262" si="107">SUM(BM199:BX199)</f>
        <v>651525.49583333335</v>
      </c>
      <c r="BZ199" s="41">
        <f t="shared" ref="BZ199:BZ262" si="108">IF(E199=E198,BY199+BZ198,BY199)</f>
        <v>813016.64166666672</v>
      </c>
      <c r="CA199" s="58">
        <f t="shared" si="98"/>
        <v>44466</v>
      </c>
      <c r="CB199" s="47">
        <f t="shared" ref="CB199:CB262" si="109">IF(E199=E200,0,BZ199)</f>
        <v>813016.64166666672</v>
      </c>
    </row>
    <row r="200" spans="1:80" ht="15" outlineLevel="1" x14ac:dyDescent="0.2">
      <c r="A200" s="26"/>
      <c r="B200" s="27">
        <f t="shared" si="102"/>
        <v>44473</v>
      </c>
      <c r="C200" s="28" t="s">
        <v>1</v>
      </c>
      <c r="D200" s="29">
        <f t="shared" si="103"/>
        <v>44479</v>
      </c>
      <c r="E200" s="30">
        <f t="shared" si="104"/>
        <v>10</v>
      </c>
      <c r="F200" s="31">
        <f t="shared" si="105"/>
        <v>2021</v>
      </c>
      <c r="G200" s="32">
        <f t="shared" si="106"/>
        <v>22</v>
      </c>
      <c r="H200" s="33">
        <f t="shared" si="106"/>
        <v>66</v>
      </c>
      <c r="I200" s="32"/>
      <c r="J200" s="32"/>
      <c r="K200" s="32"/>
      <c r="L200" s="32"/>
      <c r="M200" s="32"/>
      <c r="N200" s="32"/>
      <c r="O200" s="34"/>
      <c r="P200" s="34"/>
      <c r="Q200" s="34"/>
      <c r="R200" s="34"/>
      <c r="S200" s="34"/>
      <c r="T200" s="34"/>
      <c r="U200" s="35"/>
      <c r="V200" s="36">
        <f t="shared" si="101"/>
        <v>0</v>
      </c>
      <c r="W200" s="36">
        <f t="shared" si="101"/>
        <v>0</v>
      </c>
      <c r="X200" s="36">
        <f t="shared" si="101"/>
        <v>0</v>
      </c>
      <c r="Y200" s="36">
        <f t="shared" si="101"/>
        <v>0</v>
      </c>
      <c r="Z200" s="36">
        <f t="shared" si="101"/>
        <v>0</v>
      </c>
      <c r="AA200" s="36">
        <f t="shared" si="101"/>
        <v>0</v>
      </c>
      <c r="AB200" s="26"/>
      <c r="AC200" s="37">
        <f t="shared" si="78"/>
        <v>25</v>
      </c>
      <c r="AD200" s="37">
        <f t="shared" si="79"/>
        <v>0</v>
      </c>
      <c r="AE200" s="37">
        <f t="shared" si="80"/>
        <v>52</v>
      </c>
      <c r="AF200" s="37">
        <f t="shared" si="81"/>
        <v>0</v>
      </c>
      <c r="AG200" s="37">
        <f t="shared" si="82"/>
        <v>0</v>
      </c>
      <c r="AH200" s="37">
        <f t="shared" si="83"/>
        <v>0</v>
      </c>
      <c r="AI200" s="37">
        <f t="shared" si="84"/>
        <v>0</v>
      </c>
      <c r="AJ200" s="37">
        <f t="shared" si="85"/>
        <v>0</v>
      </c>
      <c r="AK200" s="37">
        <f t="shared" si="86"/>
        <v>0</v>
      </c>
      <c r="AL200" s="37">
        <f t="shared" si="87"/>
        <v>0</v>
      </c>
      <c r="AM200" s="37">
        <f t="shared" si="88"/>
        <v>0</v>
      </c>
      <c r="AN200" s="37">
        <f t="shared" si="89"/>
        <v>0</v>
      </c>
      <c r="AO200" s="37">
        <f t="shared" si="90"/>
        <v>0</v>
      </c>
      <c r="AP200" s="37">
        <f t="shared" si="91"/>
        <v>0</v>
      </c>
      <c r="AQ200" s="37">
        <f t="shared" si="92"/>
        <v>0</v>
      </c>
      <c r="AR200" s="37">
        <f t="shared" si="93"/>
        <v>0</v>
      </c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26"/>
      <c r="BM200" s="40">
        <f>IF(OR(V199=4,V199=8,V199=12,V199=16,V199=20),$CA$1,0)</f>
        <v>0</v>
      </c>
      <c r="BN200" s="40">
        <f>IF(OR(W199=4,W199=8,W199=12,W199=16,W199=20),$CA$1,0)</f>
        <v>0</v>
      </c>
      <c r="BO200" s="40">
        <f>IF(OR(X199=4,X199=8,X199=12,X199=16,X199=20),$CA$1,0)</f>
        <v>0</v>
      </c>
      <c r="BP200" s="40">
        <f>IF(OR(Y199=4,Y199=8,Y199=12,Y199=16,Y199=20),$CA$1,0)</f>
        <v>0</v>
      </c>
      <c r="BQ200" s="40">
        <f>IF(OR(Z199=4,Z199=8,Z199=12,Z199=16,Z199=20),$CA$1,0)</f>
        <v>0</v>
      </c>
      <c r="BR200" s="40">
        <f>IF(OR(AA199=4,AA199=8,AA199=12,AA199=16,AA199=20),$CA$1,0)</f>
        <v>0</v>
      </c>
      <c r="BS200" s="40">
        <f>IF(V196=20,$CB$1,0)</f>
        <v>0</v>
      </c>
      <c r="BT200" s="40">
        <f>IF(W196=20,$CB$1,0)</f>
        <v>0</v>
      </c>
      <c r="BU200" s="40">
        <f>IF(X196=20,$CB$1,0)</f>
        <v>0</v>
      </c>
      <c r="BV200" s="40">
        <f>IF(Y196=20,$CB$1,0)</f>
        <v>0</v>
      </c>
      <c r="BW200" s="40">
        <f>IF(Z196=20,$CB$1,0)</f>
        <v>0</v>
      </c>
      <c r="BX200" s="40">
        <f>IF(AA196=20,$CB$1,0)</f>
        <v>0</v>
      </c>
      <c r="BY200" s="41">
        <f t="shared" si="107"/>
        <v>0</v>
      </c>
      <c r="BZ200" s="41">
        <f t="shared" si="108"/>
        <v>0</v>
      </c>
      <c r="CA200" s="58">
        <f t="shared" si="98"/>
        <v>44473</v>
      </c>
      <c r="CB200" s="47">
        <f t="shared" si="109"/>
        <v>0</v>
      </c>
    </row>
    <row r="201" spans="1:80" ht="15" outlineLevel="1" x14ac:dyDescent="0.2">
      <c r="B201" s="18">
        <f t="shared" si="102"/>
        <v>44480</v>
      </c>
      <c r="C201" s="17" t="s">
        <v>1</v>
      </c>
      <c r="D201" s="19">
        <f t="shared" si="103"/>
        <v>44486</v>
      </c>
      <c r="E201" s="20">
        <f t="shared" si="104"/>
        <v>10</v>
      </c>
      <c r="F201" s="21">
        <f t="shared" si="105"/>
        <v>2021</v>
      </c>
      <c r="G201" s="11">
        <f t="shared" si="106"/>
        <v>22</v>
      </c>
      <c r="H201" s="10">
        <f t="shared" si="106"/>
        <v>66</v>
      </c>
      <c r="I201" s="11"/>
      <c r="J201" s="11"/>
      <c r="K201" s="11"/>
      <c r="L201" s="11"/>
      <c r="M201" s="11"/>
      <c r="N201" s="11"/>
      <c r="O201" s="14"/>
      <c r="P201" s="14"/>
      <c r="Q201" s="14"/>
      <c r="R201" s="14"/>
      <c r="S201" s="14"/>
      <c r="T201" s="14"/>
      <c r="V201" s="22">
        <f t="shared" si="101"/>
        <v>0</v>
      </c>
      <c r="W201" s="22">
        <f t="shared" si="101"/>
        <v>0</v>
      </c>
      <c r="X201" s="22">
        <f t="shared" si="101"/>
        <v>0</v>
      </c>
      <c r="Y201" s="22">
        <f t="shared" si="101"/>
        <v>0</v>
      </c>
      <c r="Z201" s="22">
        <f t="shared" si="101"/>
        <v>0</v>
      </c>
      <c r="AA201" s="22">
        <f t="shared" si="101"/>
        <v>0</v>
      </c>
      <c r="AB201" s="1"/>
      <c r="AC201" s="5">
        <f t="shared" si="78"/>
        <v>26</v>
      </c>
      <c r="AD201" s="5">
        <f t="shared" si="79"/>
        <v>0</v>
      </c>
      <c r="AE201" s="5">
        <f t="shared" si="80"/>
        <v>53</v>
      </c>
      <c r="AF201" s="5">
        <f t="shared" si="81"/>
        <v>0</v>
      </c>
      <c r="AG201" s="5">
        <f t="shared" si="82"/>
        <v>0</v>
      </c>
      <c r="AH201" s="5">
        <f t="shared" si="83"/>
        <v>0</v>
      </c>
      <c r="AI201" s="5">
        <f t="shared" si="84"/>
        <v>0</v>
      </c>
      <c r="AJ201" s="5">
        <f t="shared" si="85"/>
        <v>0</v>
      </c>
      <c r="AK201" s="5">
        <f t="shared" si="86"/>
        <v>0</v>
      </c>
      <c r="AL201" s="5">
        <f t="shared" si="87"/>
        <v>0</v>
      </c>
      <c r="AM201" s="5">
        <f t="shared" si="88"/>
        <v>0</v>
      </c>
      <c r="AN201" s="5">
        <f t="shared" si="89"/>
        <v>0</v>
      </c>
      <c r="AO201" s="5">
        <f t="shared" si="90"/>
        <v>0</v>
      </c>
      <c r="AP201" s="5">
        <f t="shared" si="91"/>
        <v>0</v>
      </c>
      <c r="AQ201" s="5">
        <f t="shared" si="92"/>
        <v>0</v>
      </c>
      <c r="AR201" s="5">
        <f t="shared" si="93"/>
        <v>0</v>
      </c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M201" s="40">
        <f>IF(OR(V200=4,V200=8,V200=12,V200=16,V200=20),$CA$1,0)</f>
        <v>0</v>
      </c>
      <c r="BN201" s="40">
        <f>IF(OR(W200=4,W200=8,W200=12,W200=16,W200=20),$CA$1,0)</f>
        <v>0</v>
      </c>
      <c r="BO201" s="40">
        <f>IF(OR(X200=4,X200=8,X200=12,X200=16,X200=20),$CA$1,0)</f>
        <v>0</v>
      </c>
      <c r="BP201" s="40">
        <f>IF(OR(Y200=4,Y200=8,Y200=12,Y200=16,Y200=20),$CA$1,0)</f>
        <v>0</v>
      </c>
      <c r="BQ201" s="40">
        <f>IF(OR(Z200=4,Z200=8,Z200=12,Z200=16,Z200=20),$CA$1,0)</f>
        <v>0</v>
      </c>
      <c r="BR201" s="40">
        <f>IF(OR(AA200=4,AA200=8,AA200=12,AA200=16,AA200=20),$CA$1,0)</f>
        <v>0</v>
      </c>
      <c r="BS201" s="40">
        <f>IF(V197=20,$CB$1,0)</f>
        <v>0</v>
      </c>
      <c r="BT201" s="40">
        <f>IF(W197=20,$CB$1,0)</f>
        <v>0</v>
      </c>
      <c r="BU201" s="40">
        <f>IF(X197=20,$CB$1,0)</f>
        <v>0</v>
      </c>
      <c r="BV201" s="40">
        <f>IF(Y197=20,$CB$1,0)</f>
        <v>0</v>
      </c>
      <c r="BW201" s="40">
        <f>IF(Z197=20,$CB$1,0)</f>
        <v>0</v>
      </c>
      <c r="BX201" s="40">
        <f>IF(AA197=20,$CB$1,0)</f>
        <v>0</v>
      </c>
      <c r="BY201" s="41">
        <f t="shared" si="107"/>
        <v>0</v>
      </c>
      <c r="BZ201" s="41">
        <f t="shared" si="108"/>
        <v>0</v>
      </c>
      <c r="CA201" s="58">
        <f t="shared" si="98"/>
        <v>44480</v>
      </c>
      <c r="CB201" s="47">
        <f t="shared" si="109"/>
        <v>0</v>
      </c>
    </row>
    <row r="202" spans="1:80" ht="15" outlineLevel="1" x14ac:dyDescent="0.2">
      <c r="B202" s="18">
        <f t="shared" si="102"/>
        <v>44487</v>
      </c>
      <c r="C202" s="17" t="s">
        <v>1</v>
      </c>
      <c r="D202" s="19">
        <f t="shared" si="103"/>
        <v>44493</v>
      </c>
      <c r="E202" s="20">
        <f t="shared" si="104"/>
        <v>10</v>
      </c>
      <c r="F202" s="21">
        <f t="shared" si="105"/>
        <v>2021</v>
      </c>
      <c r="G202" s="11">
        <f t="shared" si="106"/>
        <v>22</v>
      </c>
      <c r="H202" s="10">
        <f t="shared" si="106"/>
        <v>66</v>
      </c>
      <c r="I202" s="11"/>
      <c r="J202" s="11"/>
      <c r="K202" s="11"/>
      <c r="L202" s="11"/>
      <c r="M202" s="11"/>
      <c r="N202" s="11"/>
      <c r="O202" s="14"/>
      <c r="P202" s="14"/>
      <c r="Q202" s="14"/>
      <c r="R202" s="14"/>
      <c r="S202" s="14"/>
      <c r="T202" s="14"/>
      <c r="V202" s="22">
        <f t="shared" si="101"/>
        <v>0</v>
      </c>
      <c r="W202" s="22">
        <f t="shared" si="101"/>
        <v>0</v>
      </c>
      <c r="X202" s="22">
        <f t="shared" si="101"/>
        <v>0</v>
      </c>
      <c r="Y202" s="22">
        <f t="shared" si="101"/>
        <v>0</v>
      </c>
      <c r="Z202" s="22">
        <f t="shared" si="101"/>
        <v>0</v>
      </c>
      <c r="AA202" s="22">
        <f t="shared" si="101"/>
        <v>0</v>
      </c>
      <c r="AB202" s="1"/>
      <c r="AC202" s="5">
        <f t="shared" si="78"/>
        <v>27</v>
      </c>
      <c r="AD202" s="5">
        <f t="shared" si="79"/>
        <v>0</v>
      </c>
      <c r="AE202" s="5">
        <f t="shared" si="80"/>
        <v>54</v>
      </c>
      <c r="AF202" s="5">
        <f t="shared" si="81"/>
        <v>0</v>
      </c>
      <c r="AG202" s="5">
        <f t="shared" si="82"/>
        <v>0</v>
      </c>
      <c r="AH202" s="5">
        <f t="shared" si="83"/>
        <v>0</v>
      </c>
      <c r="AI202" s="5">
        <f t="shared" si="84"/>
        <v>0</v>
      </c>
      <c r="AJ202" s="5">
        <f t="shared" si="85"/>
        <v>0</v>
      </c>
      <c r="AK202" s="5">
        <f t="shared" si="86"/>
        <v>0</v>
      </c>
      <c r="AL202" s="5">
        <f t="shared" si="87"/>
        <v>0</v>
      </c>
      <c r="AM202" s="5">
        <f t="shared" si="88"/>
        <v>0</v>
      </c>
      <c r="AN202" s="5">
        <f t="shared" si="89"/>
        <v>0</v>
      </c>
      <c r="AO202" s="5">
        <f t="shared" si="90"/>
        <v>0</v>
      </c>
      <c r="AP202" s="5">
        <f t="shared" si="91"/>
        <v>0</v>
      </c>
      <c r="AQ202" s="5">
        <f t="shared" si="92"/>
        <v>0</v>
      </c>
      <c r="AR202" s="5">
        <f t="shared" si="93"/>
        <v>0</v>
      </c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M202" s="40">
        <f>IF(OR(V201=4,V201=8,V201=12,V201=16,V201=20),$CA$1,0)</f>
        <v>0</v>
      </c>
      <c r="BN202" s="40">
        <f>IF(OR(W201=4,W201=8,W201=12,W201=16,W201=20),$CA$1,0)</f>
        <v>0</v>
      </c>
      <c r="BO202" s="40">
        <f>IF(OR(X201=4,X201=8,X201=12,X201=16,X201=20),$CA$1,0)</f>
        <v>0</v>
      </c>
      <c r="BP202" s="40">
        <f>IF(OR(Y201=4,Y201=8,Y201=12,Y201=16,Y201=20),$CA$1,0)</f>
        <v>0</v>
      </c>
      <c r="BQ202" s="40">
        <f>IF(OR(Z201=4,Z201=8,Z201=12,Z201=16,Z201=20),$CA$1,0)</f>
        <v>0</v>
      </c>
      <c r="BR202" s="40">
        <f>IF(OR(AA201=4,AA201=8,AA201=12,AA201=16,AA201=20),$CA$1,0)</f>
        <v>0</v>
      </c>
      <c r="BS202" s="40">
        <f>IF(V198=20,$CB$1,0)</f>
        <v>0</v>
      </c>
      <c r="BT202" s="40">
        <f>IF(W198=20,$CB$1,0)</f>
        <v>0</v>
      </c>
      <c r="BU202" s="40">
        <f>IF(X198=20,$CB$1,0)</f>
        <v>0</v>
      </c>
      <c r="BV202" s="40">
        <f>IF(Y198=20,$CB$1,0)</f>
        <v>0</v>
      </c>
      <c r="BW202" s="40">
        <f>IF(Z198=20,$CB$1,0)</f>
        <v>0</v>
      </c>
      <c r="BX202" s="40">
        <f>IF(AA198=20,$CB$1,0)</f>
        <v>0</v>
      </c>
      <c r="BY202" s="41">
        <f t="shared" si="107"/>
        <v>0</v>
      </c>
      <c r="BZ202" s="41">
        <f t="shared" si="108"/>
        <v>0</v>
      </c>
      <c r="CA202" s="58">
        <f t="shared" si="98"/>
        <v>44487</v>
      </c>
      <c r="CB202" s="47">
        <f t="shared" si="109"/>
        <v>0</v>
      </c>
    </row>
    <row r="203" spans="1:80" ht="15" outlineLevel="1" x14ac:dyDescent="0.2">
      <c r="B203" s="18">
        <f t="shared" si="102"/>
        <v>44494</v>
      </c>
      <c r="C203" s="17" t="s">
        <v>1</v>
      </c>
      <c r="D203" s="19">
        <f t="shared" si="103"/>
        <v>44500</v>
      </c>
      <c r="E203" s="20">
        <f t="shared" si="104"/>
        <v>10</v>
      </c>
      <c r="F203" s="21">
        <f t="shared" si="105"/>
        <v>2021</v>
      </c>
      <c r="G203" s="11">
        <f t="shared" si="106"/>
        <v>22</v>
      </c>
      <c r="H203" s="10">
        <f t="shared" si="106"/>
        <v>66</v>
      </c>
      <c r="I203" s="11"/>
      <c r="J203" s="11"/>
      <c r="K203" s="11"/>
      <c r="L203" s="11"/>
      <c r="M203" s="11"/>
      <c r="N203" s="11"/>
      <c r="O203" s="14"/>
      <c r="P203" s="14"/>
      <c r="Q203" s="14"/>
      <c r="R203" s="14"/>
      <c r="S203" s="14"/>
      <c r="T203" s="14"/>
      <c r="V203" s="22">
        <f t="shared" si="101"/>
        <v>0</v>
      </c>
      <c r="W203" s="22">
        <f t="shared" si="101"/>
        <v>0</v>
      </c>
      <c r="X203" s="22">
        <f t="shared" si="101"/>
        <v>0</v>
      </c>
      <c r="Y203" s="22">
        <f t="shared" si="101"/>
        <v>0</v>
      </c>
      <c r="Z203" s="22">
        <f t="shared" si="101"/>
        <v>0</v>
      </c>
      <c r="AA203" s="22">
        <f t="shared" si="101"/>
        <v>0</v>
      </c>
      <c r="AB203" s="1"/>
      <c r="AC203" s="5">
        <f t="shared" si="78"/>
        <v>28</v>
      </c>
      <c r="AD203" s="5">
        <f t="shared" si="79"/>
        <v>0</v>
      </c>
      <c r="AE203" s="5">
        <f t="shared" si="80"/>
        <v>55</v>
      </c>
      <c r="AF203" s="5">
        <f t="shared" si="81"/>
        <v>0</v>
      </c>
      <c r="AG203" s="5">
        <f t="shared" si="82"/>
        <v>0</v>
      </c>
      <c r="AH203" s="5">
        <f t="shared" si="83"/>
        <v>0</v>
      </c>
      <c r="AI203" s="5">
        <f t="shared" si="84"/>
        <v>0</v>
      </c>
      <c r="AJ203" s="5">
        <f t="shared" si="85"/>
        <v>0</v>
      </c>
      <c r="AK203" s="5">
        <f t="shared" si="86"/>
        <v>0</v>
      </c>
      <c r="AL203" s="5">
        <f t="shared" si="87"/>
        <v>0</v>
      </c>
      <c r="AM203" s="5">
        <f t="shared" si="88"/>
        <v>0</v>
      </c>
      <c r="AN203" s="5">
        <f t="shared" si="89"/>
        <v>0</v>
      </c>
      <c r="AO203" s="5">
        <f t="shared" si="90"/>
        <v>0</v>
      </c>
      <c r="AP203" s="5">
        <f t="shared" si="91"/>
        <v>0</v>
      </c>
      <c r="AQ203" s="5">
        <f t="shared" si="92"/>
        <v>0</v>
      </c>
      <c r="AR203" s="5">
        <f t="shared" si="93"/>
        <v>0</v>
      </c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M203" s="40">
        <f>IF(OR(V202=4,V202=8,V202=12,V202=16,V202=20),$CA$1,0)</f>
        <v>0</v>
      </c>
      <c r="BN203" s="40">
        <f>IF(OR(W202=4,W202=8,W202=12,W202=16,W202=20),$CA$1,0)</f>
        <v>0</v>
      </c>
      <c r="BO203" s="40">
        <f>IF(OR(X202=4,X202=8,X202=12,X202=16,X202=20),$CA$1,0)</f>
        <v>0</v>
      </c>
      <c r="BP203" s="40">
        <f>IF(OR(Y202=4,Y202=8,Y202=12,Y202=16,Y202=20),$CA$1,0)</f>
        <v>0</v>
      </c>
      <c r="BQ203" s="40">
        <f>IF(OR(Z202=4,Z202=8,Z202=12,Z202=16,Z202=20),$CA$1,0)</f>
        <v>0</v>
      </c>
      <c r="BR203" s="40">
        <f>IF(OR(AA202=4,AA202=8,AA202=12,AA202=16,AA202=20),$CA$1,0)</f>
        <v>0</v>
      </c>
      <c r="BS203" s="40">
        <f>IF(V199=20,$CB$1,0)</f>
        <v>0</v>
      </c>
      <c r="BT203" s="40">
        <f>IF(W199=20,$CB$1,0)</f>
        <v>0</v>
      </c>
      <c r="BU203" s="40">
        <f>IF(X199=20,$CB$1,0)</f>
        <v>0</v>
      </c>
      <c r="BV203" s="40">
        <f>IF(Y199=20,$CB$1,0)</f>
        <v>0</v>
      </c>
      <c r="BW203" s="40">
        <f>IF(Z199=20,$CB$1,0)</f>
        <v>0</v>
      </c>
      <c r="BX203" s="40">
        <f>IF(AA199=20,$CB$1,0)</f>
        <v>0</v>
      </c>
      <c r="BY203" s="41">
        <f t="shared" si="107"/>
        <v>0</v>
      </c>
      <c r="BZ203" s="41">
        <f t="shared" si="108"/>
        <v>0</v>
      </c>
      <c r="CA203" s="58">
        <f t="shared" si="98"/>
        <v>44494</v>
      </c>
      <c r="CB203" s="47">
        <f t="shared" si="109"/>
        <v>0</v>
      </c>
    </row>
    <row r="204" spans="1:80" ht="15" outlineLevel="1" x14ac:dyDescent="0.2">
      <c r="B204" s="18">
        <f t="shared" si="102"/>
        <v>44501</v>
      </c>
      <c r="C204" s="17" t="s">
        <v>1</v>
      </c>
      <c r="D204" s="19">
        <f t="shared" si="103"/>
        <v>44507</v>
      </c>
      <c r="E204" s="20">
        <f t="shared" si="104"/>
        <v>11</v>
      </c>
      <c r="F204" s="21">
        <f t="shared" si="105"/>
        <v>2021</v>
      </c>
      <c r="G204" s="11">
        <f t="shared" si="106"/>
        <v>22</v>
      </c>
      <c r="H204" s="10">
        <f t="shared" si="106"/>
        <v>66</v>
      </c>
      <c r="I204" s="11"/>
      <c r="J204" s="11"/>
      <c r="K204" s="11"/>
      <c r="L204" s="11"/>
      <c r="M204" s="11"/>
      <c r="N204" s="11"/>
      <c r="O204" s="14"/>
      <c r="P204" s="14"/>
      <c r="Q204" s="14"/>
      <c r="R204" s="14"/>
      <c r="S204" s="14"/>
      <c r="T204" s="14"/>
      <c r="V204" s="22">
        <f t="shared" si="101"/>
        <v>0</v>
      </c>
      <c r="W204" s="22">
        <f t="shared" si="101"/>
        <v>0</v>
      </c>
      <c r="X204" s="22">
        <f t="shared" si="101"/>
        <v>0</v>
      </c>
      <c r="Y204" s="22">
        <f t="shared" si="101"/>
        <v>0</v>
      </c>
      <c r="Z204" s="22">
        <f t="shared" si="101"/>
        <v>0</v>
      </c>
      <c r="AA204" s="22">
        <f t="shared" si="101"/>
        <v>0</v>
      </c>
      <c r="AB204" s="1"/>
      <c r="AC204" s="5">
        <f t="shared" si="78"/>
        <v>29</v>
      </c>
      <c r="AD204" s="5">
        <f t="shared" si="79"/>
        <v>0</v>
      </c>
      <c r="AE204" s="5">
        <f t="shared" si="80"/>
        <v>56</v>
      </c>
      <c r="AF204" s="5">
        <f t="shared" si="81"/>
        <v>0</v>
      </c>
      <c r="AG204" s="5">
        <f t="shared" si="82"/>
        <v>0</v>
      </c>
      <c r="AH204" s="5">
        <f t="shared" si="83"/>
        <v>0</v>
      </c>
      <c r="AI204" s="5">
        <f t="shared" si="84"/>
        <v>0</v>
      </c>
      <c r="AJ204" s="5">
        <f t="shared" si="85"/>
        <v>0</v>
      </c>
      <c r="AK204" s="5">
        <f t="shared" si="86"/>
        <v>0</v>
      </c>
      <c r="AL204" s="5">
        <f t="shared" si="87"/>
        <v>0</v>
      </c>
      <c r="AM204" s="5">
        <f t="shared" si="88"/>
        <v>0</v>
      </c>
      <c r="AN204" s="5">
        <f t="shared" si="89"/>
        <v>0</v>
      </c>
      <c r="AO204" s="5">
        <f t="shared" si="90"/>
        <v>0</v>
      </c>
      <c r="AP204" s="5">
        <f t="shared" si="91"/>
        <v>0</v>
      </c>
      <c r="AQ204" s="5">
        <f t="shared" si="92"/>
        <v>0</v>
      </c>
      <c r="AR204" s="5">
        <f t="shared" si="93"/>
        <v>0</v>
      </c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M204" s="40">
        <f>IF(OR(V203=4,V203=8,V203=12,V203=16,V203=20),$CA$1,0)</f>
        <v>0</v>
      </c>
      <c r="BN204" s="40">
        <f>IF(OR(W203=4,W203=8,W203=12,W203=16,W203=20),$CA$1,0)</f>
        <v>0</v>
      </c>
      <c r="BO204" s="40">
        <f>IF(OR(X203=4,X203=8,X203=12,X203=16,X203=20),$CA$1,0)</f>
        <v>0</v>
      </c>
      <c r="BP204" s="40">
        <f>IF(OR(Y203=4,Y203=8,Y203=12,Y203=16,Y203=20),$CA$1,0)</f>
        <v>0</v>
      </c>
      <c r="BQ204" s="40">
        <f>IF(OR(Z203=4,Z203=8,Z203=12,Z203=16,Z203=20),$CA$1,0)</f>
        <v>0</v>
      </c>
      <c r="BR204" s="40">
        <f>IF(OR(AA203=4,AA203=8,AA203=12,AA203=16,AA203=20),$CA$1,0)</f>
        <v>0</v>
      </c>
      <c r="BS204" s="40">
        <f>IF(V200=20,$CB$1,0)</f>
        <v>0</v>
      </c>
      <c r="BT204" s="40">
        <f>IF(W200=20,$CB$1,0)</f>
        <v>0</v>
      </c>
      <c r="BU204" s="40">
        <f>IF(X200=20,$CB$1,0)</f>
        <v>0</v>
      </c>
      <c r="BV204" s="40">
        <f>IF(Y200=20,$CB$1,0)</f>
        <v>0</v>
      </c>
      <c r="BW204" s="40">
        <f>IF(Z200=20,$CB$1,0)</f>
        <v>0</v>
      </c>
      <c r="BX204" s="40">
        <f>IF(AA200=20,$CB$1,0)</f>
        <v>0</v>
      </c>
      <c r="BY204" s="41">
        <f t="shared" si="107"/>
        <v>0</v>
      </c>
      <c r="BZ204" s="41">
        <f t="shared" si="108"/>
        <v>0</v>
      </c>
      <c r="CA204" s="58">
        <f t="shared" si="98"/>
        <v>44501</v>
      </c>
      <c r="CB204" s="47">
        <f t="shared" si="109"/>
        <v>0</v>
      </c>
    </row>
    <row r="205" spans="1:80" ht="15" outlineLevel="1" x14ac:dyDescent="0.2">
      <c r="B205" s="18">
        <f t="shared" si="102"/>
        <v>44508</v>
      </c>
      <c r="C205" s="17" t="s">
        <v>1</v>
      </c>
      <c r="D205" s="19">
        <f t="shared" si="103"/>
        <v>44514</v>
      </c>
      <c r="E205" s="20">
        <f t="shared" si="104"/>
        <v>11</v>
      </c>
      <c r="F205" s="21">
        <f t="shared" si="105"/>
        <v>2021</v>
      </c>
      <c r="G205" s="11">
        <f t="shared" si="106"/>
        <v>22</v>
      </c>
      <c r="H205" s="10">
        <f t="shared" si="106"/>
        <v>66</v>
      </c>
      <c r="I205" s="11"/>
      <c r="J205" s="11"/>
      <c r="K205" s="11"/>
      <c r="L205" s="11"/>
      <c r="M205" s="11"/>
      <c r="N205" s="11"/>
      <c r="O205" s="14">
        <v>1</v>
      </c>
      <c r="P205" s="14">
        <v>2</v>
      </c>
      <c r="Q205" s="14"/>
      <c r="R205" s="14"/>
      <c r="S205" s="14"/>
      <c r="T205" s="14"/>
      <c r="V205" s="22">
        <f t="shared" si="101"/>
        <v>44510</v>
      </c>
      <c r="W205" s="22">
        <f t="shared" si="101"/>
        <v>0</v>
      </c>
      <c r="X205" s="22">
        <f t="shared" si="101"/>
        <v>0</v>
      </c>
      <c r="Y205" s="22">
        <f t="shared" si="101"/>
        <v>0</v>
      </c>
      <c r="Z205" s="22">
        <f t="shared" si="101"/>
        <v>0</v>
      </c>
      <c r="AA205" s="22">
        <f t="shared" si="101"/>
        <v>0</v>
      </c>
      <c r="AB205" s="1"/>
      <c r="AC205" s="5">
        <f t="shared" si="78"/>
        <v>30</v>
      </c>
      <c r="AD205" s="5">
        <f t="shared" si="79"/>
        <v>0</v>
      </c>
      <c r="AE205" s="5">
        <f t="shared" si="80"/>
        <v>57</v>
      </c>
      <c r="AF205" s="5">
        <f t="shared" si="81"/>
        <v>0</v>
      </c>
      <c r="AG205" s="5">
        <f t="shared" si="82"/>
        <v>0</v>
      </c>
      <c r="AH205" s="5">
        <f t="shared" si="83"/>
        <v>0</v>
      </c>
      <c r="AI205" s="5">
        <f t="shared" si="84"/>
        <v>0</v>
      </c>
      <c r="AJ205" s="5">
        <f t="shared" si="85"/>
        <v>0</v>
      </c>
      <c r="AK205" s="5">
        <f t="shared" si="86"/>
        <v>0</v>
      </c>
      <c r="AL205" s="5">
        <f t="shared" si="87"/>
        <v>0</v>
      </c>
      <c r="AM205" s="5">
        <f t="shared" si="88"/>
        <v>0</v>
      </c>
      <c r="AN205" s="5">
        <f t="shared" si="89"/>
        <v>0</v>
      </c>
      <c r="AO205" s="5">
        <f t="shared" si="90"/>
        <v>0</v>
      </c>
      <c r="AP205" s="5">
        <f t="shared" si="91"/>
        <v>0</v>
      </c>
      <c r="AQ205" s="5">
        <f t="shared" si="92"/>
        <v>0</v>
      </c>
      <c r="AR205" s="5">
        <f t="shared" si="93"/>
        <v>0</v>
      </c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M205" s="40">
        <f>IF(OR(V204=4,V204=8,V204=12,V204=16,V204=20),$CA$1,0)</f>
        <v>0</v>
      </c>
      <c r="BN205" s="40">
        <f>IF(OR(W204=4,W204=8,W204=12,W204=16,W204=20),$CA$1,0)</f>
        <v>0</v>
      </c>
      <c r="BO205" s="40">
        <f>IF(OR(X204=4,X204=8,X204=12,X204=16,X204=20),$CA$1,0)</f>
        <v>0</v>
      </c>
      <c r="BP205" s="40">
        <f>IF(OR(Y204=4,Y204=8,Y204=12,Y204=16,Y204=20),$CA$1,0)</f>
        <v>0</v>
      </c>
      <c r="BQ205" s="40">
        <f>IF(OR(Z204=4,Z204=8,Z204=12,Z204=16,Z204=20),$CA$1,0)</f>
        <v>0</v>
      </c>
      <c r="BR205" s="40">
        <f>IF(OR(AA204=4,AA204=8,AA204=12,AA204=16,AA204=20),$CA$1,0)</f>
        <v>0</v>
      </c>
      <c r="BS205" s="40">
        <f>IF(V201=20,$CB$1,0)</f>
        <v>0</v>
      </c>
      <c r="BT205" s="40">
        <f>IF(W201=20,$CB$1,0)</f>
        <v>0</v>
      </c>
      <c r="BU205" s="40">
        <f>IF(X201=20,$CB$1,0)</f>
        <v>0</v>
      </c>
      <c r="BV205" s="40">
        <f>IF(Y201=20,$CB$1,0)</f>
        <v>0</v>
      </c>
      <c r="BW205" s="40">
        <f>IF(Z201=20,$CB$1,0)</f>
        <v>0</v>
      </c>
      <c r="BX205" s="40">
        <f>IF(AA201=20,$CB$1,0)</f>
        <v>0</v>
      </c>
      <c r="BY205" s="41">
        <f t="shared" si="107"/>
        <v>0</v>
      </c>
      <c r="BZ205" s="41">
        <f t="shared" si="108"/>
        <v>0</v>
      </c>
      <c r="CA205" s="58">
        <f t="shared" si="98"/>
        <v>44508</v>
      </c>
      <c r="CB205" s="47">
        <f t="shared" si="109"/>
        <v>0</v>
      </c>
    </row>
    <row r="206" spans="1:80" ht="15" outlineLevel="1" x14ac:dyDescent="0.2">
      <c r="B206" s="18">
        <f t="shared" si="102"/>
        <v>44515</v>
      </c>
      <c r="C206" s="17" t="s">
        <v>1</v>
      </c>
      <c r="D206" s="19">
        <f t="shared" si="103"/>
        <v>44521</v>
      </c>
      <c r="E206" s="20">
        <f t="shared" si="104"/>
        <v>11</v>
      </c>
      <c r="F206" s="21">
        <f t="shared" si="105"/>
        <v>2021</v>
      </c>
      <c r="G206" s="11">
        <f t="shared" si="106"/>
        <v>22</v>
      </c>
      <c r="H206" s="10">
        <f t="shared" si="106"/>
        <v>66</v>
      </c>
      <c r="I206" s="11"/>
      <c r="J206" s="11"/>
      <c r="K206" s="11"/>
      <c r="L206" s="11"/>
      <c r="M206" s="11"/>
      <c r="N206" s="11"/>
      <c r="O206" s="14"/>
      <c r="P206" s="14"/>
      <c r="Q206" s="14"/>
      <c r="R206" s="14"/>
      <c r="S206" s="14"/>
      <c r="T206" s="14"/>
      <c r="V206" s="22">
        <f t="shared" si="101"/>
        <v>1</v>
      </c>
      <c r="W206" s="22">
        <f t="shared" si="101"/>
        <v>0</v>
      </c>
      <c r="X206" s="22">
        <f t="shared" si="101"/>
        <v>0</v>
      </c>
      <c r="Y206" s="22">
        <f t="shared" si="101"/>
        <v>0</v>
      </c>
      <c r="Z206" s="22">
        <f t="shared" si="101"/>
        <v>0</v>
      </c>
      <c r="AA206" s="22">
        <f t="shared" si="101"/>
        <v>0</v>
      </c>
      <c r="AB206" s="1"/>
      <c r="AC206" s="5">
        <f t="shared" si="78"/>
        <v>31</v>
      </c>
      <c r="AD206" s="5">
        <f t="shared" si="79"/>
        <v>0</v>
      </c>
      <c r="AE206" s="5">
        <f t="shared" si="80"/>
        <v>58</v>
      </c>
      <c r="AF206" s="5">
        <f t="shared" si="81"/>
        <v>0</v>
      </c>
      <c r="AG206" s="5">
        <f t="shared" si="82"/>
        <v>0</v>
      </c>
      <c r="AH206" s="5">
        <f t="shared" si="83"/>
        <v>0</v>
      </c>
      <c r="AI206" s="5">
        <f t="shared" si="84"/>
        <v>0</v>
      </c>
      <c r="AJ206" s="5">
        <f t="shared" si="85"/>
        <v>0</v>
      </c>
      <c r="AK206" s="5">
        <f t="shared" si="86"/>
        <v>0</v>
      </c>
      <c r="AL206" s="5">
        <f t="shared" si="87"/>
        <v>0</v>
      </c>
      <c r="AM206" s="5">
        <f t="shared" si="88"/>
        <v>0</v>
      </c>
      <c r="AN206" s="5">
        <f t="shared" si="89"/>
        <v>0</v>
      </c>
      <c r="AO206" s="5">
        <f t="shared" si="90"/>
        <v>0</v>
      </c>
      <c r="AP206" s="5">
        <f t="shared" si="91"/>
        <v>0</v>
      </c>
      <c r="AQ206" s="5">
        <f t="shared" si="92"/>
        <v>0</v>
      </c>
      <c r="AR206" s="5">
        <f t="shared" si="93"/>
        <v>0</v>
      </c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M206" s="40">
        <f>IF(OR(V205=4,V205=8,V205=12,V205=16,V205=20),$CA$1,0)</f>
        <v>0</v>
      </c>
      <c r="BN206" s="40">
        <f>IF(OR(W205=4,W205=8,W205=12,W205=16,W205=20),$CA$1,0)</f>
        <v>0</v>
      </c>
      <c r="BO206" s="40">
        <f>IF(OR(X205=4,X205=8,X205=12,X205=16,X205=20),$CA$1,0)</f>
        <v>0</v>
      </c>
      <c r="BP206" s="40">
        <f>IF(OR(Y205=4,Y205=8,Y205=12,Y205=16,Y205=20),$CA$1,0)</f>
        <v>0</v>
      </c>
      <c r="BQ206" s="40">
        <f>IF(OR(Z205=4,Z205=8,Z205=12,Z205=16,Z205=20),$CA$1,0)</f>
        <v>0</v>
      </c>
      <c r="BR206" s="40">
        <f>IF(OR(AA205=4,AA205=8,AA205=12,AA205=16,AA205=20),$CA$1,0)</f>
        <v>0</v>
      </c>
      <c r="BS206" s="40">
        <f>IF(V202=20,$CB$1,0)</f>
        <v>0</v>
      </c>
      <c r="BT206" s="40">
        <f>IF(W202=20,$CB$1,0)</f>
        <v>0</v>
      </c>
      <c r="BU206" s="40">
        <f>IF(X202=20,$CB$1,0)</f>
        <v>0</v>
      </c>
      <c r="BV206" s="40">
        <f>IF(Y202=20,$CB$1,0)</f>
        <v>0</v>
      </c>
      <c r="BW206" s="40">
        <f>IF(Z202=20,$CB$1,0)</f>
        <v>0</v>
      </c>
      <c r="BX206" s="40">
        <f>IF(AA202=20,$CB$1,0)</f>
        <v>0</v>
      </c>
      <c r="BY206" s="41">
        <f t="shared" si="107"/>
        <v>0</v>
      </c>
      <c r="BZ206" s="41">
        <f t="shared" si="108"/>
        <v>0</v>
      </c>
      <c r="CA206" s="58">
        <f t="shared" si="98"/>
        <v>44515</v>
      </c>
      <c r="CB206" s="47">
        <f t="shared" si="109"/>
        <v>0</v>
      </c>
    </row>
    <row r="207" spans="1:80" ht="15" outlineLevel="1" x14ac:dyDescent="0.2">
      <c r="B207" s="18">
        <f t="shared" si="102"/>
        <v>44522</v>
      </c>
      <c r="C207" s="17" t="s">
        <v>1</v>
      </c>
      <c r="D207" s="19">
        <f t="shared" si="103"/>
        <v>44528</v>
      </c>
      <c r="E207" s="20">
        <f t="shared" si="104"/>
        <v>11</v>
      </c>
      <c r="F207" s="21">
        <f t="shared" si="105"/>
        <v>2021</v>
      </c>
      <c r="G207" s="11">
        <f t="shared" si="106"/>
        <v>22</v>
      </c>
      <c r="H207" s="10">
        <f t="shared" si="106"/>
        <v>66</v>
      </c>
      <c r="I207" s="11"/>
      <c r="J207" s="11">
        <v>22</v>
      </c>
      <c r="K207" s="11"/>
      <c r="L207" s="11"/>
      <c r="M207" s="11"/>
      <c r="N207" s="11"/>
      <c r="O207" s="14"/>
      <c r="P207" s="14"/>
      <c r="Q207" s="14"/>
      <c r="R207" s="14"/>
      <c r="S207" s="14"/>
      <c r="T207" s="14"/>
      <c r="V207" s="22">
        <f t="shared" si="101"/>
        <v>2</v>
      </c>
      <c r="W207" s="22">
        <f t="shared" si="101"/>
        <v>22</v>
      </c>
      <c r="X207" s="22">
        <f t="shared" si="101"/>
        <v>0</v>
      </c>
      <c r="Y207" s="22">
        <f t="shared" si="101"/>
        <v>0</v>
      </c>
      <c r="Z207" s="22">
        <f t="shared" si="101"/>
        <v>0</v>
      </c>
      <c r="AA207" s="22">
        <f t="shared" si="101"/>
        <v>0</v>
      </c>
      <c r="AB207" s="1"/>
      <c r="AC207" s="5">
        <f t="shared" si="78"/>
        <v>32</v>
      </c>
      <c r="AD207" s="5">
        <f t="shared" si="79"/>
        <v>22</v>
      </c>
      <c r="AE207" s="5">
        <f t="shared" si="80"/>
        <v>59</v>
      </c>
      <c r="AF207" s="5">
        <f t="shared" si="81"/>
        <v>0</v>
      </c>
      <c r="AG207" s="5">
        <f t="shared" si="82"/>
        <v>0</v>
      </c>
      <c r="AH207" s="5">
        <f t="shared" si="83"/>
        <v>0</v>
      </c>
      <c r="AI207" s="5">
        <f t="shared" si="84"/>
        <v>0</v>
      </c>
      <c r="AJ207" s="5">
        <f t="shared" si="85"/>
        <v>0</v>
      </c>
      <c r="AK207" s="5">
        <f t="shared" si="86"/>
        <v>0</v>
      </c>
      <c r="AL207" s="5">
        <f t="shared" si="87"/>
        <v>0</v>
      </c>
      <c r="AM207" s="5">
        <f t="shared" si="88"/>
        <v>0</v>
      </c>
      <c r="AN207" s="5">
        <f t="shared" si="89"/>
        <v>0</v>
      </c>
      <c r="AO207" s="5">
        <f t="shared" si="90"/>
        <v>0</v>
      </c>
      <c r="AP207" s="5">
        <f t="shared" si="91"/>
        <v>0</v>
      </c>
      <c r="AQ207" s="5">
        <f t="shared" si="92"/>
        <v>0</v>
      </c>
      <c r="AR207" s="5">
        <f t="shared" si="93"/>
        <v>0</v>
      </c>
      <c r="AS207" s="10"/>
      <c r="AT207" s="10">
        <v>2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M207" s="40">
        <f>IF(OR(V206=4,V206=8,V206=12,V206=16,V206=20),$CA$1,0)</f>
        <v>0</v>
      </c>
      <c r="BN207" s="40">
        <f>IF(OR(W206=4,W206=8,W206=12,W206=16,W206=20),$CA$1,0)</f>
        <v>0</v>
      </c>
      <c r="BO207" s="40">
        <f>IF(OR(X206=4,X206=8,X206=12,X206=16,X206=20),$CA$1,0)</f>
        <v>0</v>
      </c>
      <c r="BP207" s="40">
        <f>IF(OR(Y206=4,Y206=8,Y206=12,Y206=16,Y206=20),$CA$1,0)</f>
        <v>0</v>
      </c>
      <c r="BQ207" s="40">
        <f>IF(OR(Z206=4,Z206=8,Z206=12,Z206=16,Z206=20),$CA$1,0)</f>
        <v>0</v>
      </c>
      <c r="BR207" s="40">
        <f>IF(OR(AA206=4,AA206=8,AA206=12,AA206=16,AA206=20),$CA$1,0)</f>
        <v>0</v>
      </c>
      <c r="BS207" s="40">
        <f>IF(V203=20,$CB$1,0)</f>
        <v>0</v>
      </c>
      <c r="BT207" s="40">
        <f>IF(W203=20,$CB$1,0)</f>
        <v>0</v>
      </c>
      <c r="BU207" s="40">
        <f>IF(X203=20,$CB$1,0)</f>
        <v>0</v>
      </c>
      <c r="BV207" s="40">
        <f>IF(Y203=20,$CB$1,0)</f>
        <v>0</v>
      </c>
      <c r="BW207" s="40">
        <f>IF(Z203=20,$CB$1,0)</f>
        <v>0</v>
      </c>
      <c r="BX207" s="40">
        <f>IF(AA203=20,$CB$1,0)</f>
        <v>0</v>
      </c>
      <c r="BY207" s="41">
        <f t="shared" si="107"/>
        <v>0</v>
      </c>
      <c r="BZ207" s="41">
        <f t="shared" si="108"/>
        <v>0</v>
      </c>
      <c r="CA207" s="58">
        <f t="shared" si="98"/>
        <v>44522</v>
      </c>
      <c r="CB207" s="47">
        <f t="shared" si="109"/>
        <v>0</v>
      </c>
    </row>
    <row r="208" spans="1:80" ht="15" outlineLevel="1" x14ac:dyDescent="0.2">
      <c r="B208" s="18">
        <f t="shared" si="102"/>
        <v>44529</v>
      </c>
      <c r="C208" s="17" t="s">
        <v>1</v>
      </c>
      <c r="D208" s="19">
        <f t="shared" si="103"/>
        <v>44535</v>
      </c>
      <c r="E208" s="20">
        <f t="shared" si="104"/>
        <v>11</v>
      </c>
      <c r="F208" s="21">
        <f t="shared" si="105"/>
        <v>2021</v>
      </c>
      <c r="G208" s="11">
        <f t="shared" si="106"/>
        <v>22</v>
      </c>
      <c r="H208" s="10">
        <f t="shared" si="106"/>
        <v>66</v>
      </c>
      <c r="I208" s="11"/>
      <c r="J208" s="11"/>
      <c r="K208" s="11"/>
      <c r="L208" s="11"/>
      <c r="M208" s="11"/>
      <c r="N208" s="11"/>
      <c r="O208" s="14"/>
      <c r="P208" s="14"/>
      <c r="Q208" s="14"/>
      <c r="R208" s="14"/>
      <c r="S208" s="14"/>
      <c r="T208" s="14"/>
      <c r="V208" s="22">
        <f t="shared" si="101"/>
        <v>3</v>
      </c>
      <c r="W208" s="22">
        <f t="shared" si="101"/>
        <v>0</v>
      </c>
      <c r="X208" s="22">
        <f t="shared" si="101"/>
        <v>0</v>
      </c>
      <c r="Y208" s="22">
        <f t="shared" si="101"/>
        <v>0</v>
      </c>
      <c r="Z208" s="22">
        <f t="shared" si="101"/>
        <v>0</v>
      </c>
      <c r="AA208" s="22">
        <f t="shared" si="101"/>
        <v>0</v>
      </c>
      <c r="AB208" s="1"/>
      <c r="AC208" s="5">
        <f t="shared" si="78"/>
        <v>33</v>
      </c>
      <c r="AD208" s="5">
        <f t="shared" si="79"/>
        <v>23</v>
      </c>
      <c r="AE208" s="5">
        <f t="shared" si="80"/>
        <v>60</v>
      </c>
      <c r="AF208" s="5">
        <f t="shared" si="81"/>
        <v>0</v>
      </c>
      <c r="AG208" s="5">
        <f t="shared" si="82"/>
        <v>0</v>
      </c>
      <c r="AH208" s="5">
        <f t="shared" si="83"/>
        <v>0</v>
      </c>
      <c r="AI208" s="5">
        <f t="shared" si="84"/>
        <v>0</v>
      </c>
      <c r="AJ208" s="5">
        <f t="shared" si="85"/>
        <v>0</v>
      </c>
      <c r="AK208" s="5">
        <f t="shared" si="86"/>
        <v>0</v>
      </c>
      <c r="AL208" s="5">
        <f t="shared" si="87"/>
        <v>0</v>
      </c>
      <c r="AM208" s="5">
        <f t="shared" si="88"/>
        <v>0</v>
      </c>
      <c r="AN208" s="5">
        <f t="shared" si="89"/>
        <v>0</v>
      </c>
      <c r="AO208" s="5">
        <f t="shared" si="90"/>
        <v>0</v>
      </c>
      <c r="AP208" s="5">
        <f t="shared" si="91"/>
        <v>0</v>
      </c>
      <c r="AQ208" s="5">
        <f t="shared" si="92"/>
        <v>0</v>
      </c>
      <c r="AR208" s="5">
        <f t="shared" si="93"/>
        <v>0</v>
      </c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M208" s="40">
        <f>IF(OR(V207=4,V207=8,V207=12,V207=16,V207=20),$CA$1,0)</f>
        <v>0</v>
      </c>
      <c r="BN208" s="40">
        <f>IF(OR(W207=4,W207=8,W207=12,W207=16,W207=20),$CA$1,0)</f>
        <v>0</v>
      </c>
      <c r="BO208" s="40">
        <f>IF(OR(X207=4,X207=8,X207=12,X207=16,X207=20),$CA$1,0)</f>
        <v>0</v>
      </c>
      <c r="BP208" s="40">
        <f>IF(OR(Y207=4,Y207=8,Y207=12,Y207=16,Y207=20),$CA$1,0)</f>
        <v>0</v>
      </c>
      <c r="BQ208" s="40">
        <f>IF(OR(Z207=4,Z207=8,Z207=12,Z207=16,Z207=20),$CA$1,0)</f>
        <v>0</v>
      </c>
      <c r="BR208" s="40">
        <f>IF(OR(AA207=4,AA207=8,AA207=12,AA207=16,AA207=20),$CA$1,0)</f>
        <v>0</v>
      </c>
      <c r="BS208" s="40">
        <f>IF(V204=20,$CB$1,0)</f>
        <v>0</v>
      </c>
      <c r="BT208" s="40">
        <f>IF(W204=20,$CB$1,0)</f>
        <v>0</v>
      </c>
      <c r="BU208" s="40">
        <f>IF(X204=20,$CB$1,0)</f>
        <v>0</v>
      </c>
      <c r="BV208" s="40">
        <f>IF(Y204=20,$CB$1,0)</f>
        <v>0</v>
      </c>
      <c r="BW208" s="40">
        <f>IF(Z204=20,$CB$1,0)</f>
        <v>0</v>
      </c>
      <c r="BX208" s="40">
        <f>IF(AA204=20,$CB$1,0)</f>
        <v>0</v>
      </c>
      <c r="BY208" s="41">
        <f t="shared" si="107"/>
        <v>0</v>
      </c>
      <c r="BZ208" s="41">
        <f t="shared" si="108"/>
        <v>0</v>
      </c>
      <c r="CA208" s="58">
        <f t="shared" si="98"/>
        <v>44529</v>
      </c>
      <c r="CB208" s="47">
        <f t="shared" si="109"/>
        <v>0</v>
      </c>
    </row>
    <row r="209" spans="2:84" ht="15" outlineLevel="1" x14ac:dyDescent="0.2">
      <c r="B209" s="18">
        <f t="shared" si="102"/>
        <v>44536</v>
      </c>
      <c r="C209" s="17" t="s">
        <v>1</v>
      </c>
      <c r="D209" s="19">
        <f t="shared" si="103"/>
        <v>44542</v>
      </c>
      <c r="E209" s="20">
        <f t="shared" si="104"/>
        <v>12</v>
      </c>
      <c r="F209" s="21">
        <f t="shared" si="105"/>
        <v>2021</v>
      </c>
      <c r="G209" s="11">
        <f t="shared" si="106"/>
        <v>22</v>
      </c>
      <c r="H209" s="10">
        <f t="shared" si="106"/>
        <v>66</v>
      </c>
      <c r="I209" s="11"/>
      <c r="J209" s="11"/>
      <c r="K209" s="11"/>
      <c r="L209" s="11"/>
      <c r="M209" s="11"/>
      <c r="N209" s="11"/>
      <c r="O209" s="14"/>
      <c r="P209" s="14"/>
      <c r="Q209" s="14"/>
      <c r="R209" s="14"/>
      <c r="S209" s="14"/>
      <c r="T209" s="14"/>
      <c r="V209" s="22">
        <f t="shared" si="101"/>
        <v>4</v>
      </c>
      <c r="W209" s="22">
        <f t="shared" si="101"/>
        <v>0</v>
      </c>
      <c r="X209" s="22">
        <f t="shared" si="101"/>
        <v>0</v>
      </c>
      <c r="Y209" s="22">
        <f t="shared" si="101"/>
        <v>0</v>
      </c>
      <c r="Z209" s="22">
        <f t="shared" si="101"/>
        <v>0</v>
      </c>
      <c r="AA209" s="22">
        <f t="shared" si="101"/>
        <v>0</v>
      </c>
      <c r="AB209" s="1"/>
      <c r="AC209" s="5">
        <f t="shared" si="78"/>
        <v>34</v>
      </c>
      <c r="AD209" s="5">
        <f t="shared" si="79"/>
        <v>24</v>
      </c>
      <c r="AE209" s="5">
        <f t="shared" si="80"/>
        <v>61</v>
      </c>
      <c r="AF209" s="5">
        <f t="shared" si="81"/>
        <v>0</v>
      </c>
      <c r="AG209" s="5">
        <f t="shared" si="82"/>
        <v>0</v>
      </c>
      <c r="AH209" s="5">
        <f t="shared" si="83"/>
        <v>0</v>
      </c>
      <c r="AI209" s="5">
        <f t="shared" si="84"/>
        <v>0</v>
      </c>
      <c r="AJ209" s="5">
        <f t="shared" si="85"/>
        <v>0</v>
      </c>
      <c r="AK209" s="5">
        <f t="shared" si="86"/>
        <v>0</v>
      </c>
      <c r="AL209" s="5">
        <f t="shared" si="87"/>
        <v>0</v>
      </c>
      <c r="AM209" s="5">
        <f t="shared" si="88"/>
        <v>0</v>
      </c>
      <c r="AN209" s="5">
        <f t="shared" si="89"/>
        <v>0</v>
      </c>
      <c r="AO209" s="5">
        <f t="shared" si="90"/>
        <v>0</v>
      </c>
      <c r="AP209" s="5">
        <f t="shared" si="91"/>
        <v>0</v>
      </c>
      <c r="AQ209" s="5">
        <f t="shared" si="92"/>
        <v>0</v>
      </c>
      <c r="AR209" s="5">
        <f t="shared" si="93"/>
        <v>0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M209" s="40">
        <f>IF(OR(V208=4,V208=8,V208=12,V208=16,V208=20),$CA$1,0)</f>
        <v>0</v>
      </c>
      <c r="BN209" s="40">
        <f>IF(OR(W208=4,W208=8,W208=12,W208=16,W208=20),$CA$1,0)</f>
        <v>0</v>
      </c>
      <c r="BO209" s="40">
        <f>IF(OR(X208=4,X208=8,X208=12,X208=16,X208=20),$CA$1,0)</f>
        <v>0</v>
      </c>
      <c r="BP209" s="40">
        <f>IF(OR(Y208=4,Y208=8,Y208=12,Y208=16,Y208=20),$CA$1,0)</f>
        <v>0</v>
      </c>
      <c r="BQ209" s="40">
        <f>IF(OR(Z208=4,Z208=8,Z208=12,Z208=16,Z208=20),$CA$1,0)</f>
        <v>0</v>
      </c>
      <c r="BR209" s="40">
        <f>IF(OR(AA208=4,AA208=8,AA208=12,AA208=16,AA208=20),$CA$1,0)</f>
        <v>0</v>
      </c>
      <c r="BS209" s="40">
        <f>IF(V205=20,$CB$1,0)</f>
        <v>0</v>
      </c>
      <c r="BT209" s="40">
        <f>IF(W205=20,$CB$1,0)</f>
        <v>0</v>
      </c>
      <c r="BU209" s="40">
        <f>IF(X205=20,$CB$1,0)</f>
        <v>0</v>
      </c>
      <c r="BV209" s="40">
        <f>IF(Y205=20,$CB$1,0)</f>
        <v>0</v>
      </c>
      <c r="BW209" s="40">
        <f>IF(Z205=20,$CB$1,0)</f>
        <v>0</v>
      </c>
      <c r="BX209" s="40">
        <f>IF(AA205=20,$CB$1,0)</f>
        <v>0</v>
      </c>
      <c r="BY209" s="41">
        <f t="shared" si="107"/>
        <v>0</v>
      </c>
      <c r="BZ209" s="41">
        <f t="shared" si="108"/>
        <v>0</v>
      </c>
      <c r="CA209" s="58">
        <f t="shared" si="98"/>
        <v>44536</v>
      </c>
      <c r="CB209" s="47">
        <f t="shared" si="109"/>
        <v>0</v>
      </c>
    </row>
    <row r="210" spans="2:84" ht="15" outlineLevel="1" x14ac:dyDescent="0.2">
      <c r="B210" s="18">
        <f t="shared" si="102"/>
        <v>44543</v>
      </c>
      <c r="C210" s="17" t="s">
        <v>1</v>
      </c>
      <c r="D210" s="19">
        <f t="shared" si="103"/>
        <v>44549</v>
      </c>
      <c r="E210" s="20">
        <f t="shared" si="104"/>
        <v>12</v>
      </c>
      <c r="F210" s="21">
        <f t="shared" si="105"/>
        <v>2021</v>
      </c>
      <c r="G210" s="11">
        <f t="shared" si="106"/>
        <v>22</v>
      </c>
      <c r="H210" s="10">
        <f t="shared" si="106"/>
        <v>66</v>
      </c>
      <c r="I210" s="11"/>
      <c r="J210" s="11"/>
      <c r="K210" s="11"/>
      <c r="L210" s="11"/>
      <c r="M210" s="11"/>
      <c r="N210" s="11"/>
      <c r="O210" s="14"/>
      <c r="P210" s="14"/>
      <c r="Q210" s="14"/>
      <c r="R210" s="14"/>
      <c r="S210" s="14"/>
      <c r="T210" s="14"/>
      <c r="V210" s="22">
        <f t="shared" si="101"/>
        <v>5</v>
      </c>
      <c r="W210" s="22">
        <f t="shared" si="101"/>
        <v>0</v>
      </c>
      <c r="X210" s="22">
        <f t="shared" si="101"/>
        <v>0</v>
      </c>
      <c r="Y210" s="22">
        <f t="shared" si="101"/>
        <v>0</v>
      </c>
      <c r="Z210" s="22">
        <f t="shared" si="101"/>
        <v>0</v>
      </c>
      <c r="AA210" s="22">
        <f t="shared" si="101"/>
        <v>0</v>
      </c>
      <c r="AB210" s="1"/>
      <c r="AC210" s="5">
        <f t="shared" si="78"/>
        <v>35</v>
      </c>
      <c r="AD210" s="5">
        <f t="shared" si="79"/>
        <v>25</v>
      </c>
      <c r="AE210" s="5">
        <f t="shared" si="80"/>
        <v>62</v>
      </c>
      <c r="AF210" s="5">
        <f t="shared" si="81"/>
        <v>0</v>
      </c>
      <c r="AG210" s="5">
        <f t="shared" si="82"/>
        <v>0</v>
      </c>
      <c r="AH210" s="5">
        <f t="shared" si="83"/>
        <v>0</v>
      </c>
      <c r="AI210" s="5">
        <f t="shared" si="84"/>
        <v>0</v>
      </c>
      <c r="AJ210" s="5">
        <f t="shared" si="85"/>
        <v>0</v>
      </c>
      <c r="AK210" s="5">
        <f t="shared" si="86"/>
        <v>0</v>
      </c>
      <c r="AL210" s="5">
        <f t="shared" si="87"/>
        <v>0</v>
      </c>
      <c r="AM210" s="5">
        <f t="shared" si="88"/>
        <v>0</v>
      </c>
      <c r="AN210" s="5">
        <f t="shared" si="89"/>
        <v>0</v>
      </c>
      <c r="AO210" s="5">
        <f t="shared" si="90"/>
        <v>0</v>
      </c>
      <c r="AP210" s="5">
        <f t="shared" si="91"/>
        <v>0</v>
      </c>
      <c r="AQ210" s="5">
        <f t="shared" si="92"/>
        <v>0</v>
      </c>
      <c r="AR210" s="5">
        <f t="shared" si="93"/>
        <v>0</v>
      </c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M210" s="40">
        <f>IF(OR(V209=4,V209=8,V209=12,V209=16,V209=20),$CA$1,0)</f>
        <v>161491.14583333334</v>
      </c>
      <c r="BN210" s="40">
        <f>IF(OR(W209=4,W209=8,W209=12,W209=16,W209=20),$CA$1,0)</f>
        <v>0</v>
      </c>
      <c r="BO210" s="40">
        <f>IF(OR(X209=4,X209=8,X209=12,X209=16,X209=20),$CA$1,0)</f>
        <v>0</v>
      </c>
      <c r="BP210" s="40">
        <f>IF(OR(Y209=4,Y209=8,Y209=12,Y209=16,Y209=20),$CA$1,0)</f>
        <v>0</v>
      </c>
      <c r="BQ210" s="40">
        <f>IF(OR(Z209=4,Z209=8,Z209=12,Z209=16,Z209=20),$CA$1,0)</f>
        <v>0</v>
      </c>
      <c r="BR210" s="40">
        <f>IF(OR(AA209=4,AA209=8,AA209=12,AA209=16,AA209=20),$CA$1,0)</f>
        <v>0</v>
      </c>
      <c r="BS210" s="40">
        <f>IF(V206=20,$CB$1,0)</f>
        <v>0</v>
      </c>
      <c r="BT210" s="40">
        <f>IF(W206=20,$CB$1,0)</f>
        <v>0</v>
      </c>
      <c r="BU210" s="40">
        <f>IF(X206=20,$CB$1,0)</f>
        <v>0</v>
      </c>
      <c r="BV210" s="40">
        <f>IF(Y206=20,$CB$1,0)</f>
        <v>0</v>
      </c>
      <c r="BW210" s="40">
        <f>IF(Z206=20,$CB$1,0)</f>
        <v>0</v>
      </c>
      <c r="BX210" s="40">
        <f>IF(AA206=20,$CB$1,0)</f>
        <v>0</v>
      </c>
      <c r="BY210" s="41">
        <f t="shared" si="107"/>
        <v>161491.14583333334</v>
      </c>
      <c r="BZ210" s="41">
        <f t="shared" si="108"/>
        <v>161491.14583333334</v>
      </c>
      <c r="CA210" s="58">
        <f t="shared" si="98"/>
        <v>44543</v>
      </c>
      <c r="CB210" s="47">
        <f t="shared" si="109"/>
        <v>0</v>
      </c>
    </row>
    <row r="211" spans="2:84" ht="15" outlineLevel="1" x14ac:dyDescent="0.2">
      <c r="B211" s="18">
        <f t="shared" si="102"/>
        <v>44550</v>
      </c>
      <c r="C211" s="17" t="s">
        <v>1</v>
      </c>
      <c r="D211" s="19">
        <f t="shared" si="103"/>
        <v>44556</v>
      </c>
      <c r="E211" s="20">
        <f t="shared" si="104"/>
        <v>12</v>
      </c>
      <c r="F211" s="21">
        <f t="shared" si="105"/>
        <v>2021</v>
      </c>
      <c r="G211" s="11">
        <f t="shared" si="106"/>
        <v>22</v>
      </c>
      <c r="H211" s="10">
        <f t="shared" si="106"/>
        <v>66</v>
      </c>
      <c r="I211" s="11"/>
      <c r="J211" s="11"/>
      <c r="K211" s="11"/>
      <c r="L211" s="11"/>
      <c r="M211" s="11"/>
      <c r="N211" s="11"/>
      <c r="O211" s="14"/>
      <c r="P211" s="14"/>
      <c r="Q211" s="14"/>
      <c r="R211" s="14"/>
      <c r="S211" s="14"/>
      <c r="T211" s="14"/>
      <c r="V211" s="22">
        <f t="shared" si="101"/>
        <v>6</v>
      </c>
      <c r="W211" s="22">
        <f t="shared" si="101"/>
        <v>0</v>
      </c>
      <c r="X211" s="22">
        <f t="shared" si="101"/>
        <v>0</v>
      </c>
      <c r="Y211" s="22">
        <f t="shared" si="101"/>
        <v>0</v>
      </c>
      <c r="Z211" s="22">
        <f t="shared" si="101"/>
        <v>0</v>
      </c>
      <c r="AA211" s="22">
        <f t="shared" si="101"/>
        <v>0</v>
      </c>
      <c r="AB211" s="1"/>
      <c r="AC211" s="5">
        <f t="shared" si="78"/>
        <v>36</v>
      </c>
      <c r="AD211" s="5">
        <f t="shared" si="79"/>
        <v>26</v>
      </c>
      <c r="AE211" s="5">
        <f t="shared" si="80"/>
        <v>63</v>
      </c>
      <c r="AF211" s="5">
        <f t="shared" si="81"/>
        <v>0</v>
      </c>
      <c r="AG211" s="5">
        <f t="shared" si="82"/>
        <v>0</v>
      </c>
      <c r="AH211" s="5">
        <f t="shared" si="83"/>
        <v>0</v>
      </c>
      <c r="AI211" s="5">
        <f t="shared" si="84"/>
        <v>0</v>
      </c>
      <c r="AJ211" s="5">
        <f t="shared" si="85"/>
        <v>0</v>
      </c>
      <c r="AK211" s="5">
        <f t="shared" si="86"/>
        <v>0</v>
      </c>
      <c r="AL211" s="5">
        <f t="shared" si="87"/>
        <v>0</v>
      </c>
      <c r="AM211" s="5">
        <f t="shared" si="88"/>
        <v>0</v>
      </c>
      <c r="AN211" s="5">
        <f t="shared" si="89"/>
        <v>0</v>
      </c>
      <c r="AO211" s="5">
        <f t="shared" si="90"/>
        <v>0</v>
      </c>
      <c r="AP211" s="5">
        <f t="shared" si="91"/>
        <v>0</v>
      </c>
      <c r="AQ211" s="5">
        <f t="shared" si="92"/>
        <v>0</v>
      </c>
      <c r="AR211" s="5">
        <f t="shared" si="93"/>
        <v>0</v>
      </c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M211" s="40">
        <f>IF(OR(V210=4,V210=8,V210=12,V210=16,V210=20),$CA$1,0)</f>
        <v>0</v>
      </c>
      <c r="BN211" s="40">
        <f>IF(OR(W210=4,W210=8,W210=12,W210=16,W210=20),$CA$1,0)</f>
        <v>0</v>
      </c>
      <c r="BO211" s="40">
        <f>IF(OR(X210=4,X210=8,X210=12,X210=16,X210=20),$CA$1,0)</f>
        <v>0</v>
      </c>
      <c r="BP211" s="40">
        <f>IF(OR(Y210=4,Y210=8,Y210=12,Y210=16,Y210=20),$CA$1,0)</f>
        <v>0</v>
      </c>
      <c r="BQ211" s="40">
        <f>IF(OR(Z210=4,Z210=8,Z210=12,Z210=16,Z210=20),$CA$1,0)</f>
        <v>0</v>
      </c>
      <c r="BR211" s="40">
        <f>IF(OR(AA210=4,AA210=8,AA210=12,AA210=16,AA210=20),$CA$1,0)</f>
        <v>0</v>
      </c>
      <c r="BS211" s="40">
        <f>IF(V207=20,$CB$1,0)</f>
        <v>0</v>
      </c>
      <c r="BT211" s="40">
        <f>IF(W207=20,$CB$1,0)</f>
        <v>0</v>
      </c>
      <c r="BU211" s="40">
        <f>IF(X207=20,$CB$1,0)</f>
        <v>0</v>
      </c>
      <c r="BV211" s="40">
        <f>IF(Y207=20,$CB$1,0)</f>
        <v>0</v>
      </c>
      <c r="BW211" s="40">
        <f>IF(Z207=20,$CB$1,0)</f>
        <v>0</v>
      </c>
      <c r="BX211" s="40">
        <f>IF(AA207=20,$CB$1,0)</f>
        <v>0</v>
      </c>
      <c r="BY211" s="41">
        <f t="shared" si="107"/>
        <v>0</v>
      </c>
      <c r="BZ211" s="41">
        <f t="shared" si="108"/>
        <v>161491.14583333334</v>
      </c>
      <c r="CA211" s="58">
        <f t="shared" si="98"/>
        <v>44550</v>
      </c>
      <c r="CB211" s="47">
        <f t="shared" si="109"/>
        <v>0</v>
      </c>
    </row>
    <row r="212" spans="2:84" ht="15" x14ac:dyDescent="0.2">
      <c r="B212" s="18">
        <f t="shared" si="102"/>
        <v>44557</v>
      </c>
      <c r="C212" s="17" t="s">
        <v>1</v>
      </c>
      <c r="D212" s="19">
        <f t="shared" si="103"/>
        <v>44563</v>
      </c>
      <c r="E212" s="20">
        <f t="shared" si="104"/>
        <v>12</v>
      </c>
      <c r="F212" s="21">
        <f t="shared" si="105"/>
        <v>2022</v>
      </c>
      <c r="G212" s="11">
        <f t="shared" si="106"/>
        <v>22</v>
      </c>
      <c r="H212" s="10">
        <f t="shared" si="106"/>
        <v>66</v>
      </c>
      <c r="I212" s="11"/>
      <c r="J212" s="11"/>
      <c r="K212" s="11"/>
      <c r="L212" s="11"/>
      <c r="M212" s="11"/>
      <c r="N212" s="11"/>
      <c r="O212" s="14"/>
      <c r="P212" s="14"/>
      <c r="Q212" s="14"/>
      <c r="R212" s="14"/>
      <c r="S212" s="14"/>
      <c r="T212" s="14"/>
      <c r="V212" s="22">
        <f t="shared" ref="V212:AA227" si="110">IF(I212&gt;0,I212,IF(O212=1,$B212+2,IF(O211=1,1,IF(O211=2,0,IF(V211=$G211,0,(IF(V211&gt;=1,V211+1,0)))))))</f>
        <v>7</v>
      </c>
      <c r="W212" s="22">
        <f t="shared" si="110"/>
        <v>0</v>
      </c>
      <c r="X212" s="22">
        <f t="shared" si="110"/>
        <v>0</v>
      </c>
      <c r="Y212" s="22">
        <f t="shared" si="110"/>
        <v>0</v>
      </c>
      <c r="Z212" s="22">
        <f t="shared" si="110"/>
        <v>0</v>
      </c>
      <c r="AA212" s="22">
        <f t="shared" si="110"/>
        <v>0</v>
      </c>
      <c r="AB212" s="1"/>
      <c r="AC212" s="5">
        <f t="shared" si="78"/>
        <v>37</v>
      </c>
      <c r="AD212" s="5">
        <f t="shared" si="79"/>
        <v>27</v>
      </c>
      <c r="AE212" s="5">
        <f t="shared" si="80"/>
        <v>64</v>
      </c>
      <c r="AF212" s="5">
        <f t="shared" si="81"/>
        <v>0</v>
      </c>
      <c r="AG212" s="5">
        <f t="shared" si="82"/>
        <v>0</v>
      </c>
      <c r="AH212" s="5">
        <f t="shared" si="83"/>
        <v>0</v>
      </c>
      <c r="AI212" s="5">
        <f t="shared" si="84"/>
        <v>0</v>
      </c>
      <c r="AJ212" s="5">
        <f t="shared" si="85"/>
        <v>0</v>
      </c>
      <c r="AK212" s="5">
        <f t="shared" si="86"/>
        <v>0</v>
      </c>
      <c r="AL212" s="5">
        <f t="shared" si="87"/>
        <v>0</v>
      </c>
      <c r="AM212" s="5">
        <f t="shared" si="88"/>
        <v>0</v>
      </c>
      <c r="AN212" s="5">
        <f t="shared" si="89"/>
        <v>0</v>
      </c>
      <c r="AO212" s="5">
        <f t="shared" si="90"/>
        <v>0</v>
      </c>
      <c r="AP212" s="5">
        <f t="shared" si="91"/>
        <v>0</v>
      </c>
      <c r="AQ212" s="5">
        <f t="shared" si="92"/>
        <v>0</v>
      </c>
      <c r="AR212" s="5">
        <f t="shared" si="93"/>
        <v>0</v>
      </c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M212" s="40">
        <f>IF(OR(V211=4,V211=8,V211=12,V211=16,V211=20),$CA$1,0)</f>
        <v>0</v>
      </c>
      <c r="BN212" s="40">
        <f>IF(OR(W211=4,W211=8,W211=12,W211=16,W211=20),$CA$1,0)</f>
        <v>0</v>
      </c>
      <c r="BO212" s="40">
        <f>IF(OR(X211=4,X211=8,X211=12,X211=16,X211=20),$CA$1,0)</f>
        <v>0</v>
      </c>
      <c r="BP212" s="40">
        <f>IF(OR(Y211=4,Y211=8,Y211=12,Y211=16,Y211=20),$CA$1,0)</f>
        <v>0</v>
      </c>
      <c r="BQ212" s="40">
        <f>IF(OR(Z211=4,Z211=8,Z211=12,Z211=16,Z211=20),$CA$1,0)</f>
        <v>0</v>
      </c>
      <c r="BR212" s="40">
        <f>IF(OR(AA211=4,AA211=8,AA211=12,AA211=16,AA211=20),$CA$1,0)</f>
        <v>0</v>
      </c>
      <c r="BS212" s="40">
        <f>IF(V208=20,$CB$1,0)</f>
        <v>0</v>
      </c>
      <c r="BT212" s="40">
        <f>IF(W208=20,$CB$1,0)</f>
        <v>0</v>
      </c>
      <c r="BU212" s="40">
        <f>IF(X208=20,$CB$1,0)</f>
        <v>0</v>
      </c>
      <c r="BV212" s="40">
        <f>IF(Y208=20,$CB$1,0)</f>
        <v>0</v>
      </c>
      <c r="BW212" s="40">
        <f>IF(Z208=20,$CB$1,0)</f>
        <v>0</v>
      </c>
      <c r="BX212" s="40">
        <f>IF(AA208=20,$CB$1,0)</f>
        <v>0</v>
      </c>
      <c r="BY212" s="41">
        <f t="shared" si="107"/>
        <v>0</v>
      </c>
      <c r="BZ212" s="41">
        <f t="shared" si="108"/>
        <v>161491.14583333334</v>
      </c>
      <c r="CA212" s="58">
        <f t="shared" si="98"/>
        <v>44557</v>
      </c>
      <c r="CB212" s="47">
        <f t="shared" si="109"/>
        <v>161491.14583333334</v>
      </c>
      <c r="CD212" s="56" t="s">
        <v>24</v>
      </c>
      <c r="CE212" s="60" t="s">
        <v>26</v>
      </c>
      <c r="CF212" s="61" t="s">
        <v>40</v>
      </c>
    </row>
    <row r="213" spans="2:84" ht="15" outlineLevel="1" x14ac:dyDescent="0.2">
      <c r="B213" s="18">
        <f t="shared" si="102"/>
        <v>44564</v>
      </c>
      <c r="C213" s="17" t="s">
        <v>1</v>
      </c>
      <c r="D213" s="19">
        <f t="shared" si="103"/>
        <v>44570</v>
      </c>
      <c r="E213" s="20">
        <f t="shared" si="104"/>
        <v>1</v>
      </c>
      <c r="F213" s="21">
        <f t="shared" si="105"/>
        <v>2022</v>
      </c>
      <c r="G213" s="11">
        <f t="shared" si="106"/>
        <v>22</v>
      </c>
      <c r="H213" s="10">
        <f t="shared" si="106"/>
        <v>66</v>
      </c>
      <c r="I213" s="11"/>
      <c r="J213" s="11"/>
      <c r="K213" s="11"/>
      <c r="L213" s="11"/>
      <c r="M213" s="11"/>
      <c r="N213" s="11"/>
      <c r="O213" s="14"/>
      <c r="P213" s="14"/>
      <c r="Q213" s="14"/>
      <c r="R213" s="14"/>
      <c r="S213" s="14"/>
      <c r="T213" s="14"/>
      <c r="V213" s="22">
        <f t="shared" si="110"/>
        <v>8</v>
      </c>
      <c r="W213" s="22">
        <f t="shared" si="110"/>
        <v>0</v>
      </c>
      <c r="X213" s="22">
        <f t="shared" si="110"/>
        <v>0</v>
      </c>
      <c r="Y213" s="22">
        <f t="shared" si="110"/>
        <v>0</v>
      </c>
      <c r="Z213" s="22">
        <f t="shared" si="110"/>
        <v>0</v>
      </c>
      <c r="AA213" s="22">
        <f t="shared" si="110"/>
        <v>0</v>
      </c>
      <c r="AB213" s="1"/>
      <c r="AC213" s="5">
        <f t="shared" si="78"/>
        <v>38</v>
      </c>
      <c r="AD213" s="5">
        <f t="shared" si="79"/>
        <v>28</v>
      </c>
      <c r="AE213" s="5">
        <f t="shared" si="80"/>
        <v>65</v>
      </c>
      <c r="AF213" s="5">
        <f t="shared" si="81"/>
        <v>0</v>
      </c>
      <c r="AG213" s="5">
        <f t="shared" si="82"/>
        <v>0</v>
      </c>
      <c r="AH213" s="5">
        <f t="shared" si="83"/>
        <v>0</v>
      </c>
      <c r="AI213" s="5">
        <f t="shared" si="84"/>
        <v>0</v>
      </c>
      <c r="AJ213" s="5">
        <f t="shared" si="85"/>
        <v>0</v>
      </c>
      <c r="AK213" s="5">
        <f t="shared" si="86"/>
        <v>0</v>
      </c>
      <c r="AL213" s="5">
        <f t="shared" si="87"/>
        <v>0</v>
      </c>
      <c r="AM213" s="5">
        <f t="shared" si="88"/>
        <v>0</v>
      </c>
      <c r="AN213" s="5">
        <f t="shared" si="89"/>
        <v>0</v>
      </c>
      <c r="AO213" s="5">
        <f t="shared" si="90"/>
        <v>0</v>
      </c>
      <c r="AP213" s="5">
        <f t="shared" si="91"/>
        <v>0</v>
      </c>
      <c r="AQ213" s="5">
        <f t="shared" si="92"/>
        <v>0</v>
      </c>
      <c r="AR213" s="5">
        <f t="shared" si="93"/>
        <v>0</v>
      </c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M213" s="40">
        <f>IF(OR(V212=4,V212=8,V212=12,V212=16,V212=20),$CA$1,0)</f>
        <v>0</v>
      </c>
      <c r="BN213" s="40">
        <f>IF(OR(W212=4,W212=8,W212=12,W212=16,W212=20),$CA$1,0)</f>
        <v>0</v>
      </c>
      <c r="BO213" s="40">
        <f>IF(OR(X212=4,X212=8,X212=12,X212=16,X212=20),$CA$1,0)</f>
        <v>0</v>
      </c>
      <c r="BP213" s="40">
        <f>IF(OR(Y212=4,Y212=8,Y212=12,Y212=16,Y212=20),$CA$1,0)</f>
        <v>0</v>
      </c>
      <c r="BQ213" s="40">
        <f>IF(OR(Z212=4,Z212=8,Z212=12,Z212=16,Z212=20),$CA$1,0)</f>
        <v>0</v>
      </c>
      <c r="BR213" s="40">
        <f>IF(OR(AA212=4,AA212=8,AA212=12,AA212=16,AA212=20),$CA$1,0)</f>
        <v>0</v>
      </c>
      <c r="BS213" s="40">
        <f>IF(V209=20,$CB$1,0)</f>
        <v>0</v>
      </c>
      <c r="BT213" s="40">
        <f>IF(W209=20,$CB$1,0)</f>
        <v>0</v>
      </c>
      <c r="BU213" s="40">
        <f>IF(X209=20,$CB$1,0)</f>
        <v>0</v>
      </c>
      <c r="BV213" s="40">
        <f>IF(Y209=20,$CB$1,0)</f>
        <v>0</v>
      </c>
      <c r="BW213" s="40">
        <f>IF(Z209=20,$CB$1,0)</f>
        <v>0</v>
      </c>
      <c r="BX213" s="40">
        <f>IF(AA209=20,$CB$1,0)</f>
        <v>0</v>
      </c>
      <c r="BY213" s="41">
        <f t="shared" si="107"/>
        <v>0</v>
      </c>
      <c r="BZ213" s="41">
        <f t="shared" si="108"/>
        <v>0</v>
      </c>
      <c r="CA213" s="58">
        <f t="shared" si="98"/>
        <v>44564</v>
      </c>
      <c r="CB213" s="47">
        <f t="shared" si="109"/>
        <v>0</v>
      </c>
      <c r="CD213" s="57" t="s">
        <v>39</v>
      </c>
      <c r="CE213" s="60">
        <v>2917962.4499999997</v>
      </c>
    </row>
    <row r="214" spans="2:84" ht="15" outlineLevel="1" x14ac:dyDescent="0.2">
      <c r="B214" s="18">
        <f t="shared" si="102"/>
        <v>44571</v>
      </c>
      <c r="C214" s="17" t="s">
        <v>1</v>
      </c>
      <c r="D214" s="19">
        <f t="shared" si="103"/>
        <v>44577</v>
      </c>
      <c r="E214" s="20">
        <f t="shared" si="104"/>
        <v>1</v>
      </c>
      <c r="F214" s="21">
        <f t="shared" si="105"/>
        <v>2022</v>
      </c>
      <c r="G214" s="11">
        <f t="shared" ref="G214:H229" si="111">G213</f>
        <v>22</v>
      </c>
      <c r="H214" s="10">
        <f t="shared" si="111"/>
        <v>66</v>
      </c>
      <c r="I214" s="11"/>
      <c r="J214" s="11"/>
      <c r="K214" s="11"/>
      <c r="L214" s="11"/>
      <c r="M214" s="11"/>
      <c r="N214" s="11"/>
      <c r="O214" s="14"/>
      <c r="P214" s="14"/>
      <c r="Q214" s="14"/>
      <c r="R214" s="14"/>
      <c r="S214" s="14"/>
      <c r="T214" s="14"/>
      <c r="V214" s="22">
        <f t="shared" si="110"/>
        <v>9</v>
      </c>
      <c r="W214" s="22">
        <f t="shared" si="110"/>
        <v>0</v>
      </c>
      <c r="X214" s="22">
        <f t="shared" si="110"/>
        <v>0</v>
      </c>
      <c r="Y214" s="22">
        <f t="shared" si="110"/>
        <v>0</v>
      </c>
      <c r="Z214" s="22">
        <f t="shared" si="110"/>
        <v>0</v>
      </c>
      <c r="AA214" s="22">
        <f t="shared" si="110"/>
        <v>0</v>
      </c>
      <c r="AB214" s="1"/>
      <c r="AC214" s="5">
        <f t="shared" si="78"/>
        <v>39</v>
      </c>
      <c r="AD214" s="5">
        <f t="shared" si="79"/>
        <v>29</v>
      </c>
      <c r="AE214" s="5">
        <f t="shared" si="80"/>
        <v>66</v>
      </c>
      <c r="AF214" s="5">
        <f t="shared" si="81"/>
        <v>0</v>
      </c>
      <c r="AG214" s="5">
        <f t="shared" si="82"/>
        <v>0</v>
      </c>
      <c r="AH214" s="5">
        <f t="shared" si="83"/>
        <v>0</v>
      </c>
      <c r="AI214" s="5">
        <f t="shared" si="84"/>
        <v>0</v>
      </c>
      <c r="AJ214" s="5">
        <f t="shared" si="85"/>
        <v>0</v>
      </c>
      <c r="AK214" s="5">
        <f t="shared" si="86"/>
        <v>0</v>
      </c>
      <c r="AL214" s="5">
        <f t="shared" si="87"/>
        <v>0</v>
      </c>
      <c r="AM214" s="5">
        <f t="shared" si="88"/>
        <v>0</v>
      </c>
      <c r="AN214" s="5">
        <f t="shared" si="89"/>
        <v>0</v>
      </c>
      <c r="AO214" s="5">
        <f t="shared" si="90"/>
        <v>0</v>
      </c>
      <c r="AP214" s="5">
        <f t="shared" si="91"/>
        <v>0</v>
      </c>
      <c r="AQ214" s="5">
        <f t="shared" si="92"/>
        <v>0</v>
      </c>
      <c r="AR214" s="5">
        <f t="shared" si="93"/>
        <v>0</v>
      </c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M214" s="40">
        <f>IF(OR(V213=4,V213=8,V213=12,V213=16,V213=20),$CA$1,0)</f>
        <v>161491.14583333334</v>
      </c>
      <c r="BN214" s="40">
        <f>IF(OR(W213=4,W213=8,W213=12,W213=16,W213=20),$CA$1,0)</f>
        <v>0</v>
      </c>
      <c r="BO214" s="40">
        <f>IF(OR(X213=4,X213=8,X213=12,X213=16,X213=20),$CA$1,0)</f>
        <v>0</v>
      </c>
      <c r="BP214" s="40">
        <f>IF(OR(Y213=4,Y213=8,Y213=12,Y213=16,Y213=20),$CA$1,0)</f>
        <v>0</v>
      </c>
      <c r="BQ214" s="40">
        <f>IF(OR(Z213=4,Z213=8,Z213=12,Z213=16,Z213=20),$CA$1,0)</f>
        <v>0</v>
      </c>
      <c r="BR214" s="40">
        <f>IF(OR(AA213=4,AA213=8,AA213=12,AA213=16,AA213=20),$CA$1,0)</f>
        <v>0</v>
      </c>
      <c r="BS214" s="40">
        <f>IF(V210=20,$CB$1,0)</f>
        <v>0</v>
      </c>
      <c r="BT214" s="40">
        <f>IF(W210=20,$CB$1,0)</f>
        <v>0</v>
      </c>
      <c r="BU214" s="40">
        <f>IF(X210=20,$CB$1,0)</f>
        <v>0</v>
      </c>
      <c r="BV214" s="40">
        <f>IF(Y210=20,$CB$1,0)</f>
        <v>0</v>
      </c>
      <c r="BW214" s="40">
        <f>IF(Z210=20,$CB$1,0)</f>
        <v>0</v>
      </c>
      <c r="BX214" s="40">
        <f>IF(AA210=20,$CB$1,0)</f>
        <v>0</v>
      </c>
      <c r="BY214" s="41">
        <f t="shared" si="107"/>
        <v>161491.14583333334</v>
      </c>
      <c r="BZ214" s="41">
        <f t="shared" si="108"/>
        <v>161491.14583333334</v>
      </c>
      <c r="CA214" s="58">
        <f t="shared" si="98"/>
        <v>44571</v>
      </c>
      <c r="CB214" s="47">
        <f t="shared" si="109"/>
        <v>0</v>
      </c>
      <c r="CD214" s="59" t="s">
        <v>28</v>
      </c>
      <c r="CE214" s="60">
        <v>161491.14583333334</v>
      </c>
    </row>
    <row r="215" spans="2:84" ht="15" outlineLevel="1" x14ac:dyDescent="0.2">
      <c r="B215" s="18">
        <f t="shared" si="102"/>
        <v>44578</v>
      </c>
      <c r="C215" s="17" t="s">
        <v>1</v>
      </c>
      <c r="D215" s="19">
        <f t="shared" si="103"/>
        <v>44584</v>
      </c>
      <c r="E215" s="20">
        <f t="shared" si="104"/>
        <v>1</v>
      </c>
      <c r="F215" s="21">
        <f t="shared" si="105"/>
        <v>2022</v>
      </c>
      <c r="G215" s="11">
        <f t="shared" si="111"/>
        <v>22</v>
      </c>
      <c r="H215" s="10">
        <f t="shared" si="111"/>
        <v>66</v>
      </c>
      <c r="I215" s="11"/>
      <c r="J215" s="11"/>
      <c r="K215" s="11"/>
      <c r="L215" s="11"/>
      <c r="M215" s="11"/>
      <c r="N215" s="11"/>
      <c r="O215" s="14"/>
      <c r="P215" s="14"/>
      <c r="Q215" s="14"/>
      <c r="R215" s="14"/>
      <c r="S215" s="14"/>
      <c r="T215" s="14"/>
      <c r="V215" s="22">
        <f t="shared" si="110"/>
        <v>10</v>
      </c>
      <c r="W215" s="22">
        <f t="shared" si="110"/>
        <v>0</v>
      </c>
      <c r="X215" s="22">
        <f t="shared" si="110"/>
        <v>0</v>
      </c>
      <c r="Y215" s="22">
        <f t="shared" si="110"/>
        <v>0</v>
      </c>
      <c r="Z215" s="22">
        <f t="shared" si="110"/>
        <v>0</v>
      </c>
      <c r="AA215" s="22">
        <f t="shared" si="110"/>
        <v>0</v>
      </c>
      <c r="AB215" s="1"/>
      <c r="AC215" s="5">
        <f t="shared" si="78"/>
        <v>40</v>
      </c>
      <c r="AD215" s="5">
        <f t="shared" si="79"/>
        <v>30</v>
      </c>
      <c r="AE215" s="5">
        <f t="shared" si="80"/>
        <v>0</v>
      </c>
      <c r="AF215" s="5">
        <f t="shared" si="81"/>
        <v>0</v>
      </c>
      <c r="AG215" s="5">
        <f t="shared" si="82"/>
        <v>0</v>
      </c>
      <c r="AH215" s="5">
        <f t="shared" si="83"/>
        <v>0</v>
      </c>
      <c r="AI215" s="5">
        <f t="shared" si="84"/>
        <v>0</v>
      </c>
      <c r="AJ215" s="5">
        <f t="shared" si="85"/>
        <v>0</v>
      </c>
      <c r="AK215" s="5">
        <f t="shared" si="86"/>
        <v>0</v>
      </c>
      <c r="AL215" s="5">
        <f t="shared" si="87"/>
        <v>0</v>
      </c>
      <c r="AM215" s="5">
        <f t="shared" si="88"/>
        <v>0</v>
      </c>
      <c r="AN215" s="5">
        <f t="shared" si="89"/>
        <v>0</v>
      </c>
      <c r="AO215" s="5">
        <f t="shared" si="90"/>
        <v>0</v>
      </c>
      <c r="AP215" s="5">
        <f t="shared" si="91"/>
        <v>0</v>
      </c>
      <c r="AQ215" s="5">
        <f t="shared" si="92"/>
        <v>0</v>
      </c>
      <c r="AR215" s="5">
        <f t="shared" si="93"/>
        <v>0</v>
      </c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M215" s="40">
        <f>IF(OR(V214=4,V214=8,V214=12,V214=16,V214=20),$CA$1,0)</f>
        <v>0</v>
      </c>
      <c r="BN215" s="40">
        <f>IF(OR(W214=4,W214=8,W214=12,W214=16,W214=20),$CA$1,0)</f>
        <v>0</v>
      </c>
      <c r="BO215" s="40">
        <f>IF(OR(X214=4,X214=8,X214=12,X214=16,X214=20),$CA$1,0)</f>
        <v>0</v>
      </c>
      <c r="BP215" s="40">
        <f>IF(OR(Y214=4,Y214=8,Y214=12,Y214=16,Y214=20),$CA$1,0)</f>
        <v>0</v>
      </c>
      <c r="BQ215" s="40">
        <f>IF(OR(Z214=4,Z214=8,Z214=12,Z214=16,Z214=20),$CA$1,0)</f>
        <v>0</v>
      </c>
      <c r="BR215" s="40">
        <f>IF(OR(AA214=4,AA214=8,AA214=12,AA214=16,AA214=20),$CA$1,0)</f>
        <v>0</v>
      </c>
      <c r="BS215" s="40">
        <f>IF(V211=20,$CB$1,0)</f>
        <v>0</v>
      </c>
      <c r="BT215" s="40">
        <f>IF(W211=20,$CB$1,0)</f>
        <v>0</v>
      </c>
      <c r="BU215" s="40">
        <f>IF(X211=20,$CB$1,0)</f>
        <v>0</v>
      </c>
      <c r="BV215" s="40">
        <f>IF(Y211=20,$CB$1,0)</f>
        <v>0</v>
      </c>
      <c r="BW215" s="40">
        <f>IF(Z211=20,$CB$1,0)</f>
        <v>0</v>
      </c>
      <c r="BX215" s="40">
        <f>IF(AA211=20,$CB$1,0)</f>
        <v>0</v>
      </c>
      <c r="BY215" s="41">
        <f t="shared" si="107"/>
        <v>0</v>
      </c>
      <c r="BZ215" s="41">
        <f t="shared" si="108"/>
        <v>161491.14583333334</v>
      </c>
      <c r="CA215" s="58">
        <f t="shared" si="98"/>
        <v>44578</v>
      </c>
      <c r="CB215" s="47">
        <f t="shared" si="109"/>
        <v>0</v>
      </c>
      <c r="CD215" s="59" t="s">
        <v>29</v>
      </c>
      <c r="CE215" s="60">
        <v>161491.14583333334</v>
      </c>
    </row>
    <row r="216" spans="2:84" ht="15" outlineLevel="1" x14ac:dyDescent="0.2">
      <c r="B216" s="18">
        <f t="shared" si="102"/>
        <v>44585</v>
      </c>
      <c r="C216" s="17" t="s">
        <v>1</v>
      </c>
      <c r="D216" s="19">
        <f t="shared" si="103"/>
        <v>44591</v>
      </c>
      <c r="E216" s="20">
        <f t="shared" si="104"/>
        <v>1</v>
      </c>
      <c r="F216" s="21">
        <f t="shared" si="105"/>
        <v>2022</v>
      </c>
      <c r="G216" s="11">
        <f t="shared" si="111"/>
        <v>22</v>
      </c>
      <c r="H216" s="10">
        <f t="shared" si="111"/>
        <v>66</v>
      </c>
      <c r="I216" s="11"/>
      <c r="J216" s="11"/>
      <c r="K216" s="11"/>
      <c r="L216" s="11"/>
      <c r="M216" s="11"/>
      <c r="N216" s="11"/>
      <c r="O216" s="14"/>
      <c r="P216" s="14"/>
      <c r="Q216" s="14"/>
      <c r="R216" s="14"/>
      <c r="S216" s="14"/>
      <c r="T216" s="14"/>
      <c r="V216" s="22">
        <f t="shared" si="110"/>
        <v>11</v>
      </c>
      <c r="W216" s="22">
        <f t="shared" si="110"/>
        <v>0</v>
      </c>
      <c r="X216" s="22">
        <f t="shared" si="110"/>
        <v>0</v>
      </c>
      <c r="Y216" s="22">
        <f t="shared" si="110"/>
        <v>0</v>
      </c>
      <c r="Z216" s="22">
        <f t="shared" si="110"/>
        <v>0</v>
      </c>
      <c r="AA216" s="22">
        <f t="shared" si="110"/>
        <v>0</v>
      </c>
      <c r="AB216" s="1"/>
      <c r="AC216" s="5">
        <f t="shared" si="78"/>
        <v>41</v>
      </c>
      <c r="AD216" s="5">
        <f t="shared" si="79"/>
        <v>31</v>
      </c>
      <c r="AE216" s="5">
        <f t="shared" si="80"/>
        <v>0</v>
      </c>
      <c r="AF216" s="5">
        <f t="shared" si="81"/>
        <v>0</v>
      </c>
      <c r="AG216" s="5">
        <f t="shared" si="82"/>
        <v>0</v>
      </c>
      <c r="AH216" s="5">
        <f t="shared" si="83"/>
        <v>0</v>
      </c>
      <c r="AI216" s="5">
        <f t="shared" si="84"/>
        <v>0</v>
      </c>
      <c r="AJ216" s="5">
        <f t="shared" si="85"/>
        <v>0</v>
      </c>
      <c r="AK216" s="5">
        <f t="shared" si="86"/>
        <v>0</v>
      </c>
      <c r="AL216" s="5">
        <f t="shared" si="87"/>
        <v>0</v>
      </c>
      <c r="AM216" s="5">
        <f t="shared" si="88"/>
        <v>0</v>
      </c>
      <c r="AN216" s="5">
        <f t="shared" si="89"/>
        <v>0</v>
      </c>
      <c r="AO216" s="5">
        <f t="shared" si="90"/>
        <v>0</v>
      </c>
      <c r="AP216" s="5">
        <f t="shared" si="91"/>
        <v>0</v>
      </c>
      <c r="AQ216" s="5">
        <f t="shared" si="92"/>
        <v>0</v>
      </c>
      <c r="AR216" s="5">
        <f t="shared" si="93"/>
        <v>0</v>
      </c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M216" s="40">
        <f>IF(OR(V215=4,V215=8,V215=12,V215=16,V215=20),$CA$1,0)</f>
        <v>0</v>
      </c>
      <c r="BN216" s="40">
        <f>IF(OR(W215=4,W215=8,W215=12,W215=16,W215=20),$CA$1,0)</f>
        <v>0</v>
      </c>
      <c r="BO216" s="40">
        <f>IF(OR(X215=4,X215=8,X215=12,X215=16,X215=20),$CA$1,0)</f>
        <v>0</v>
      </c>
      <c r="BP216" s="40">
        <f>IF(OR(Y215=4,Y215=8,Y215=12,Y215=16,Y215=20),$CA$1,0)</f>
        <v>0</v>
      </c>
      <c r="BQ216" s="40">
        <f>IF(OR(Z215=4,Z215=8,Z215=12,Z215=16,Z215=20),$CA$1,0)</f>
        <v>0</v>
      </c>
      <c r="BR216" s="40">
        <f>IF(OR(AA215=4,AA215=8,AA215=12,AA215=16,AA215=20),$CA$1,0)</f>
        <v>0</v>
      </c>
      <c r="BS216" s="40">
        <f>IF(V212=20,$CB$1,0)</f>
        <v>0</v>
      </c>
      <c r="BT216" s="40">
        <f>IF(W212=20,$CB$1,0)</f>
        <v>0</v>
      </c>
      <c r="BU216" s="40">
        <f>IF(X212=20,$CB$1,0)</f>
        <v>0</v>
      </c>
      <c r="BV216" s="40">
        <f>IF(Y212=20,$CB$1,0)</f>
        <v>0</v>
      </c>
      <c r="BW216" s="40">
        <f>IF(Z212=20,$CB$1,0)</f>
        <v>0</v>
      </c>
      <c r="BX216" s="40">
        <f>IF(AA212=20,$CB$1,0)</f>
        <v>0</v>
      </c>
      <c r="BY216" s="41">
        <f t="shared" si="107"/>
        <v>0</v>
      </c>
      <c r="BZ216" s="41">
        <f t="shared" si="108"/>
        <v>161491.14583333334</v>
      </c>
      <c r="CA216" s="58">
        <f t="shared" si="98"/>
        <v>44585</v>
      </c>
      <c r="CB216" s="47">
        <f t="shared" si="109"/>
        <v>0</v>
      </c>
      <c r="CD216" s="59" t="s">
        <v>30</v>
      </c>
      <c r="CE216" s="60">
        <v>161491.14583333334</v>
      </c>
    </row>
    <row r="217" spans="2:84" ht="15" outlineLevel="1" x14ac:dyDescent="0.2">
      <c r="B217" s="18">
        <f t="shared" si="102"/>
        <v>44592</v>
      </c>
      <c r="C217" s="17" t="s">
        <v>1</v>
      </c>
      <c r="D217" s="19">
        <f t="shared" si="103"/>
        <v>44598</v>
      </c>
      <c r="E217" s="20">
        <f t="shared" si="104"/>
        <v>1</v>
      </c>
      <c r="F217" s="21">
        <f t="shared" si="105"/>
        <v>2022</v>
      </c>
      <c r="G217" s="11">
        <f t="shared" si="111"/>
        <v>22</v>
      </c>
      <c r="H217" s="10">
        <f t="shared" si="111"/>
        <v>66</v>
      </c>
      <c r="I217" s="11"/>
      <c r="J217" s="11"/>
      <c r="K217" s="11"/>
      <c r="L217" s="11"/>
      <c r="M217" s="11"/>
      <c r="N217" s="11"/>
      <c r="O217" s="14"/>
      <c r="P217" s="14"/>
      <c r="Q217" s="14"/>
      <c r="R217" s="14"/>
      <c r="S217" s="14"/>
      <c r="T217" s="14"/>
      <c r="V217" s="22">
        <f t="shared" si="110"/>
        <v>12</v>
      </c>
      <c r="W217" s="22">
        <f t="shared" si="110"/>
        <v>0</v>
      </c>
      <c r="X217" s="22">
        <f t="shared" si="110"/>
        <v>0</v>
      </c>
      <c r="Y217" s="22">
        <f t="shared" si="110"/>
        <v>0</v>
      </c>
      <c r="Z217" s="22">
        <f t="shared" si="110"/>
        <v>0</v>
      </c>
      <c r="AA217" s="22">
        <f t="shared" si="110"/>
        <v>0</v>
      </c>
      <c r="AB217" s="1"/>
      <c r="AC217" s="5">
        <f t="shared" si="78"/>
        <v>42</v>
      </c>
      <c r="AD217" s="5">
        <f t="shared" si="79"/>
        <v>32</v>
      </c>
      <c r="AE217" s="5">
        <f t="shared" si="80"/>
        <v>0</v>
      </c>
      <c r="AF217" s="5">
        <f t="shared" si="81"/>
        <v>0</v>
      </c>
      <c r="AG217" s="5">
        <f t="shared" si="82"/>
        <v>0</v>
      </c>
      <c r="AH217" s="5">
        <f t="shared" si="83"/>
        <v>0</v>
      </c>
      <c r="AI217" s="5">
        <f t="shared" si="84"/>
        <v>0</v>
      </c>
      <c r="AJ217" s="5">
        <f t="shared" si="85"/>
        <v>0</v>
      </c>
      <c r="AK217" s="5">
        <f t="shared" si="86"/>
        <v>0</v>
      </c>
      <c r="AL217" s="5">
        <f t="shared" si="87"/>
        <v>0</v>
      </c>
      <c r="AM217" s="5">
        <f t="shared" si="88"/>
        <v>0</v>
      </c>
      <c r="AN217" s="5">
        <f t="shared" si="89"/>
        <v>0</v>
      </c>
      <c r="AO217" s="5">
        <f t="shared" si="90"/>
        <v>0</v>
      </c>
      <c r="AP217" s="5">
        <f t="shared" si="91"/>
        <v>0</v>
      </c>
      <c r="AQ217" s="5">
        <f t="shared" si="92"/>
        <v>0</v>
      </c>
      <c r="AR217" s="5">
        <f t="shared" si="93"/>
        <v>0</v>
      </c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M217" s="40">
        <f>IF(OR(V216=4,V216=8,V216=12,V216=16,V216=20),$CA$1,0)</f>
        <v>0</v>
      </c>
      <c r="BN217" s="40">
        <f>IF(OR(W216=4,W216=8,W216=12,W216=16,W216=20),$CA$1,0)</f>
        <v>0</v>
      </c>
      <c r="BO217" s="40">
        <f>IF(OR(X216=4,X216=8,X216=12,X216=16,X216=20),$CA$1,0)</f>
        <v>0</v>
      </c>
      <c r="BP217" s="40">
        <f>IF(OR(Y216=4,Y216=8,Y216=12,Y216=16,Y216=20),$CA$1,0)</f>
        <v>0</v>
      </c>
      <c r="BQ217" s="40">
        <f>IF(OR(Z216=4,Z216=8,Z216=12,Z216=16,Z216=20),$CA$1,0)</f>
        <v>0</v>
      </c>
      <c r="BR217" s="40">
        <f>IF(OR(AA216=4,AA216=8,AA216=12,AA216=16,AA216=20),$CA$1,0)</f>
        <v>0</v>
      </c>
      <c r="BS217" s="40">
        <f>IF(V213=20,$CB$1,0)</f>
        <v>0</v>
      </c>
      <c r="BT217" s="40">
        <f>IF(W213=20,$CB$1,0)</f>
        <v>0</v>
      </c>
      <c r="BU217" s="40">
        <f>IF(X213=20,$CB$1,0)</f>
        <v>0</v>
      </c>
      <c r="BV217" s="40">
        <f>IF(Y213=20,$CB$1,0)</f>
        <v>0</v>
      </c>
      <c r="BW217" s="40">
        <f>IF(Z213=20,$CB$1,0)</f>
        <v>0</v>
      </c>
      <c r="BX217" s="40">
        <f>IF(AA213=20,$CB$1,0)</f>
        <v>0</v>
      </c>
      <c r="BY217" s="41">
        <f t="shared" si="107"/>
        <v>0</v>
      </c>
      <c r="BZ217" s="41">
        <f t="shared" si="108"/>
        <v>161491.14583333334</v>
      </c>
      <c r="CA217" s="58">
        <f t="shared" si="98"/>
        <v>44592</v>
      </c>
      <c r="CB217" s="47">
        <f t="shared" si="109"/>
        <v>161491.14583333334</v>
      </c>
      <c r="CD217" s="59" t="s">
        <v>31</v>
      </c>
      <c r="CE217" s="60">
        <v>813016.64166666672</v>
      </c>
      <c r="CF217" s="60">
        <f>SUM(CE214:CE217)</f>
        <v>1297490.0791666666</v>
      </c>
    </row>
    <row r="218" spans="2:84" ht="15" outlineLevel="1" x14ac:dyDescent="0.2">
      <c r="B218" s="18">
        <f t="shared" si="102"/>
        <v>44599</v>
      </c>
      <c r="C218" s="17" t="s">
        <v>1</v>
      </c>
      <c r="D218" s="19">
        <f t="shared" si="103"/>
        <v>44605</v>
      </c>
      <c r="E218" s="20">
        <f t="shared" si="104"/>
        <v>2</v>
      </c>
      <c r="F218" s="21">
        <f t="shared" si="105"/>
        <v>2022</v>
      </c>
      <c r="G218" s="11">
        <f t="shared" si="111"/>
        <v>22</v>
      </c>
      <c r="H218" s="10">
        <f t="shared" si="111"/>
        <v>66</v>
      </c>
      <c r="I218" s="11"/>
      <c r="J218" s="11"/>
      <c r="K218" s="11"/>
      <c r="L218" s="11"/>
      <c r="M218" s="11"/>
      <c r="N218" s="11"/>
      <c r="O218" s="14"/>
      <c r="P218" s="14"/>
      <c r="Q218" s="14"/>
      <c r="R218" s="14"/>
      <c r="S218" s="14"/>
      <c r="T218" s="14"/>
      <c r="V218" s="22">
        <f>IF(I218&gt;0,I218,IF(O218=1,$B218+2,IF(O217=1,1,IF(O217=2,0,IF(V217=$G217,0,(IF(V217&gt;=1,V217+1,0)))))))</f>
        <v>13</v>
      </c>
      <c r="W218" s="22">
        <f t="shared" si="110"/>
        <v>0</v>
      </c>
      <c r="X218" s="22">
        <f t="shared" si="110"/>
        <v>0</v>
      </c>
      <c r="Y218" s="22">
        <f t="shared" si="110"/>
        <v>0</v>
      </c>
      <c r="Z218" s="22">
        <f t="shared" si="110"/>
        <v>0</v>
      </c>
      <c r="AA218" s="22">
        <f t="shared" si="110"/>
        <v>0</v>
      </c>
      <c r="AB218" s="1"/>
      <c r="AC218" s="5">
        <f t="shared" si="78"/>
        <v>43</v>
      </c>
      <c r="AD218" s="5">
        <f t="shared" si="79"/>
        <v>33</v>
      </c>
      <c r="AE218" s="5">
        <f t="shared" si="80"/>
        <v>0</v>
      </c>
      <c r="AF218" s="5">
        <f t="shared" si="81"/>
        <v>0</v>
      </c>
      <c r="AG218" s="5">
        <f t="shared" si="82"/>
        <v>0</v>
      </c>
      <c r="AH218" s="5">
        <f t="shared" si="83"/>
        <v>0</v>
      </c>
      <c r="AI218" s="5">
        <f t="shared" si="84"/>
        <v>0</v>
      </c>
      <c r="AJ218" s="5">
        <f t="shared" si="85"/>
        <v>0</v>
      </c>
      <c r="AK218" s="5">
        <f t="shared" si="86"/>
        <v>0</v>
      </c>
      <c r="AL218" s="5">
        <f t="shared" si="87"/>
        <v>0</v>
      </c>
      <c r="AM218" s="5">
        <f t="shared" si="88"/>
        <v>0</v>
      </c>
      <c r="AN218" s="5">
        <f t="shared" si="89"/>
        <v>0</v>
      </c>
      <c r="AO218" s="5">
        <f t="shared" si="90"/>
        <v>0</v>
      </c>
      <c r="AP218" s="5">
        <f t="shared" si="91"/>
        <v>0</v>
      </c>
      <c r="AQ218" s="5">
        <f t="shared" si="92"/>
        <v>0</v>
      </c>
      <c r="AR218" s="5">
        <f t="shared" si="93"/>
        <v>0</v>
      </c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M218" s="40">
        <f>IF(OR(V217=4,V217=8,V217=12,V217=16,V217=20),$CA$1,0)</f>
        <v>161491.14583333334</v>
      </c>
      <c r="BN218" s="40">
        <f>IF(OR(W217=4,W217=8,W217=12,W217=16,W217=20),$CA$1,0)</f>
        <v>0</v>
      </c>
      <c r="BO218" s="40">
        <f>IF(OR(X217=4,X217=8,X217=12,X217=16,X217=20),$CA$1,0)</f>
        <v>0</v>
      </c>
      <c r="BP218" s="40">
        <f>IF(OR(Y217=4,Y217=8,Y217=12,Y217=16,Y217=20),$CA$1,0)</f>
        <v>0</v>
      </c>
      <c r="BQ218" s="40">
        <f>IF(OR(Z217=4,Z217=8,Z217=12,Z217=16,Z217=20),$CA$1,0)</f>
        <v>0</v>
      </c>
      <c r="BR218" s="40">
        <f>IF(OR(AA217=4,AA217=8,AA217=12,AA217=16,AA217=20),$CA$1,0)</f>
        <v>0</v>
      </c>
      <c r="BS218" s="40">
        <f>IF(V214=20,$CB$1,0)</f>
        <v>0</v>
      </c>
      <c r="BT218" s="40">
        <f>IF(W214=20,$CB$1,0)</f>
        <v>0</v>
      </c>
      <c r="BU218" s="40">
        <f>IF(X214=20,$CB$1,0)</f>
        <v>0</v>
      </c>
      <c r="BV218" s="40">
        <f>IF(Y214=20,$CB$1,0)</f>
        <v>0</v>
      </c>
      <c r="BW218" s="40">
        <f>IF(Z214=20,$CB$1,0)</f>
        <v>0</v>
      </c>
      <c r="BX218" s="40">
        <f>IF(AA214=20,$CB$1,0)</f>
        <v>0</v>
      </c>
      <c r="BY218" s="41">
        <f t="shared" si="107"/>
        <v>161491.14583333334</v>
      </c>
      <c r="BZ218" s="41">
        <f t="shared" si="108"/>
        <v>161491.14583333334</v>
      </c>
      <c r="CA218" s="58">
        <f t="shared" si="98"/>
        <v>44599</v>
      </c>
      <c r="CB218" s="47">
        <f t="shared" si="109"/>
        <v>0</v>
      </c>
      <c r="CD218" s="59" t="s">
        <v>32</v>
      </c>
      <c r="CE218" s="60">
        <v>0</v>
      </c>
    </row>
    <row r="219" spans="2:84" ht="15" outlineLevel="1" x14ac:dyDescent="0.2">
      <c r="B219" s="18">
        <f t="shared" si="102"/>
        <v>44606</v>
      </c>
      <c r="C219" s="17" t="s">
        <v>1</v>
      </c>
      <c r="D219" s="19">
        <f t="shared" si="103"/>
        <v>44612</v>
      </c>
      <c r="E219" s="20">
        <f t="shared" si="104"/>
        <v>2</v>
      </c>
      <c r="F219" s="21">
        <f t="shared" si="105"/>
        <v>2022</v>
      </c>
      <c r="G219" s="11">
        <f t="shared" si="111"/>
        <v>22</v>
      </c>
      <c r="H219" s="10">
        <f t="shared" si="111"/>
        <v>66</v>
      </c>
      <c r="I219" s="11"/>
      <c r="J219" s="11"/>
      <c r="K219" s="11"/>
      <c r="L219" s="11"/>
      <c r="M219" s="11"/>
      <c r="N219" s="11"/>
      <c r="O219" s="14"/>
      <c r="P219" s="14"/>
      <c r="Q219" s="14"/>
      <c r="R219" s="14"/>
      <c r="S219" s="14"/>
      <c r="T219" s="14"/>
      <c r="V219" s="22">
        <f t="shared" si="110"/>
        <v>14</v>
      </c>
      <c r="W219" s="22">
        <f t="shared" si="110"/>
        <v>0</v>
      </c>
      <c r="X219" s="22">
        <f t="shared" si="110"/>
        <v>0</v>
      </c>
      <c r="Y219" s="22">
        <f t="shared" si="110"/>
        <v>0</v>
      </c>
      <c r="Z219" s="22">
        <f t="shared" si="110"/>
        <v>0</v>
      </c>
      <c r="AA219" s="22">
        <f t="shared" si="110"/>
        <v>0</v>
      </c>
      <c r="AB219" s="1"/>
      <c r="AC219" s="5">
        <f t="shared" si="78"/>
        <v>44</v>
      </c>
      <c r="AD219" s="5">
        <f t="shared" si="79"/>
        <v>34</v>
      </c>
      <c r="AE219" s="5">
        <f t="shared" si="80"/>
        <v>0</v>
      </c>
      <c r="AF219" s="5">
        <f t="shared" si="81"/>
        <v>0</v>
      </c>
      <c r="AG219" s="5">
        <f t="shared" si="82"/>
        <v>0</v>
      </c>
      <c r="AH219" s="5">
        <f t="shared" si="83"/>
        <v>0</v>
      </c>
      <c r="AI219" s="5">
        <f t="shared" si="84"/>
        <v>0</v>
      </c>
      <c r="AJ219" s="5">
        <f t="shared" si="85"/>
        <v>0</v>
      </c>
      <c r="AK219" s="5">
        <f t="shared" si="86"/>
        <v>0</v>
      </c>
      <c r="AL219" s="5">
        <f t="shared" si="87"/>
        <v>0</v>
      </c>
      <c r="AM219" s="5">
        <f t="shared" si="88"/>
        <v>0</v>
      </c>
      <c r="AN219" s="5">
        <f t="shared" si="89"/>
        <v>0</v>
      </c>
      <c r="AO219" s="5">
        <f t="shared" si="90"/>
        <v>0</v>
      </c>
      <c r="AP219" s="5">
        <f t="shared" si="91"/>
        <v>0</v>
      </c>
      <c r="AQ219" s="5">
        <f t="shared" si="92"/>
        <v>0</v>
      </c>
      <c r="AR219" s="5">
        <f t="shared" si="93"/>
        <v>0</v>
      </c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M219" s="40">
        <f>IF(OR(V218=4,V218=8,V218=12,V218=16,V218=20),$CA$1,0)</f>
        <v>0</v>
      </c>
      <c r="BN219" s="40">
        <f>IF(OR(W218=4,W218=8,W218=12,W218=16,W218=20),$CA$1,0)</f>
        <v>0</v>
      </c>
      <c r="BO219" s="40">
        <f>IF(OR(X218=4,X218=8,X218=12,X218=16,X218=20),$CA$1,0)</f>
        <v>0</v>
      </c>
      <c r="BP219" s="40">
        <f>IF(OR(Y218=4,Y218=8,Y218=12,Y218=16,Y218=20),$CA$1,0)</f>
        <v>0</v>
      </c>
      <c r="BQ219" s="40">
        <f>IF(OR(Z218=4,Z218=8,Z218=12,Z218=16,Z218=20),$CA$1,0)</f>
        <v>0</v>
      </c>
      <c r="BR219" s="40">
        <f>IF(OR(AA218=4,AA218=8,AA218=12,AA218=16,AA218=20),$CA$1,0)</f>
        <v>0</v>
      </c>
      <c r="BS219" s="40">
        <f>IF(V215=20,$CB$1,0)</f>
        <v>0</v>
      </c>
      <c r="BT219" s="40">
        <f>IF(W215=20,$CB$1,0)</f>
        <v>0</v>
      </c>
      <c r="BU219" s="40">
        <f>IF(X215=20,$CB$1,0)</f>
        <v>0</v>
      </c>
      <c r="BV219" s="40">
        <f>IF(Y215=20,$CB$1,0)</f>
        <v>0</v>
      </c>
      <c r="BW219" s="40">
        <f>IF(Z215=20,$CB$1,0)</f>
        <v>0</v>
      </c>
      <c r="BX219" s="40">
        <f>IF(AA215=20,$CB$1,0)</f>
        <v>0</v>
      </c>
      <c r="BY219" s="41">
        <f t="shared" si="107"/>
        <v>0</v>
      </c>
      <c r="BZ219" s="41">
        <f t="shared" si="108"/>
        <v>161491.14583333334</v>
      </c>
      <c r="CA219" s="58">
        <f t="shared" si="98"/>
        <v>44606</v>
      </c>
      <c r="CB219" s="47">
        <f t="shared" si="109"/>
        <v>0</v>
      </c>
      <c r="CD219" s="59" t="s">
        <v>33</v>
      </c>
      <c r="CE219" s="60">
        <v>161491.14583333334</v>
      </c>
    </row>
    <row r="220" spans="2:84" ht="15" outlineLevel="1" x14ac:dyDescent="0.2">
      <c r="B220" s="18">
        <f t="shared" si="102"/>
        <v>44613</v>
      </c>
      <c r="C220" s="17" t="s">
        <v>1</v>
      </c>
      <c r="D220" s="19">
        <f t="shared" si="103"/>
        <v>44619</v>
      </c>
      <c r="E220" s="20">
        <f t="shared" si="104"/>
        <v>2</v>
      </c>
      <c r="F220" s="21">
        <f t="shared" si="105"/>
        <v>2022</v>
      </c>
      <c r="G220" s="11">
        <f t="shared" si="111"/>
        <v>22</v>
      </c>
      <c r="H220" s="10">
        <f t="shared" si="111"/>
        <v>66</v>
      </c>
      <c r="I220" s="11"/>
      <c r="J220" s="11"/>
      <c r="K220" s="11"/>
      <c r="L220" s="11"/>
      <c r="M220" s="11"/>
      <c r="N220" s="11"/>
      <c r="O220" s="14"/>
      <c r="P220" s="14"/>
      <c r="Q220" s="14"/>
      <c r="R220" s="14"/>
      <c r="S220" s="14"/>
      <c r="T220" s="14"/>
      <c r="V220" s="22">
        <f t="shared" si="110"/>
        <v>15</v>
      </c>
      <c r="W220" s="22">
        <f t="shared" si="110"/>
        <v>0</v>
      </c>
      <c r="X220" s="22">
        <f t="shared" si="110"/>
        <v>0</v>
      </c>
      <c r="Y220" s="22">
        <f t="shared" si="110"/>
        <v>0</v>
      </c>
      <c r="Z220" s="22">
        <f t="shared" si="110"/>
        <v>0</v>
      </c>
      <c r="AA220" s="22">
        <f t="shared" si="110"/>
        <v>0</v>
      </c>
      <c r="AB220" s="1"/>
      <c r="AC220" s="5">
        <f t="shared" si="78"/>
        <v>45</v>
      </c>
      <c r="AD220" s="5">
        <f t="shared" si="79"/>
        <v>35</v>
      </c>
      <c r="AE220" s="5">
        <f t="shared" si="80"/>
        <v>0</v>
      </c>
      <c r="AF220" s="5">
        <f t="shared" si="81"/>
        <v>0</v>
      </c>
      <c r="AG220" s="5">
        <f t="shared" si="82"/>
        <v>0</v>
      </c>
      <c r="AH220" s="5">
        <f t="shared" si="83"/>
        <v>0</v>
      </c>
      <c r="AI220" s="5">
        <f t="shared" si="84"/>
        <v>0</v>
      </c>
      <c r="AJ220" s="5">
        <f t="shared" si="85"/>
        <v>0</v>
      </c>
      <c r="AK220" s="5">
        <f t="shared" si="86"/>
        <v>0</v>
      </c>
      <c r="AL220" s="5">
        <f t="shared" si="87"/>
        <v>0</v>
      </c>
      <c r="AM220" s="5">
        <f t="shared" si="88"/>
        <v>0</v>
      </c>
      <c r="AN220" s="5">
        <f t="shared" si="89"/>
        <v>0</v>
      </c>
      <c r="AO220" s="5">
        <f t="shared" si="90"/>
        <v>0</v>
      </c>
      <c r="AP220" s="5">
        <f t="shared" si="91"/>
        <v>0</v>
      </c>
      <c r="AQ220" s="5">
        <f t="shared" si="92"/>
        <v>0</v>
      </c>
      <c r="AR220" s="5">
        <f t="shared" si="93"/>
        <v>0</v>
      </c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M220" s="40">
        <f>IF(OR(V219=4,V219=8,V219=12,V219=16,V219=20),$CA$1,0)</f>
        <v>0</v>
      </c>
      <c r="BN220" s="40">
        <f>IF(OR(W219=4,W219=8,W219=12,W219=16,W219=20),$CA$1,0)</f>
        <v>0</v>
      </c>
      <c r="BO220" s="40">
        <f>IF(OR(X219=4,X219=8,X219=12,X219=16,X219=20),$CA$1,0)</f>
        <v>0</v>
      </c>
      <c r="BP220" s="40">
        <f>IF(OR(Y219=4,Y219=8,Y219=12,Y219=16,Y219=20),$CA$1,0)</f>
        <v>0</v>
      </c>
      <c r="BQ220" s="40">
        <f>IF(OR(Z219=4,Z219=8,Z219=12,Z219=16,Z219=20),$CA$1,0)</f>
        <v>0</v>
      </c>
      <c r="BR220" s="40">
        <f>IF(OR(AA219=4,AA219=8,AA219=12,AA219=16,AA219=20),$CA$1,0)</f>
        <v>0</v>
      </c>
      <c r="BS220" s="40">
        <f>IF(V216=20,$CB$1,0)</f>
        <v>0</v>
      </c>
      <c r="BT220" s="40">
        <f>IF(W216=20,$CB$1,0)</f>
        <v>0</v>
      </c>
      <c r="BU220" s="40">
        <f>IF(X216=20,$CB$1,0)</f>
        <v>0</v>
      </c>
      <c r="BV220" s="40">
        <f>IF(Y216=20,$CB$1,0)</f>
        <v>0</v>
      </c>
      <c r="BW220" s="40">
        <f>IF(Z216=20,$CB$1,0)</f>
        <v>0</v>
      </c>
      <c r="BX220" s="40">
        <f>IF(AA216=20,$CB$1,0)</f>
        <v>0</v>
      </c>
      <c r="BY220" s="41">
        <f t="shared" si="107"/>
        <v>0</v>
      </c>
      <c r="BZ220" s="41">
        <f t="shared" si="108"/>
        <v>161491.14583333334</v>
      </c>
      <c r="CA220" s="58">
        <f t="shared" si="98"/>
        <v>44613</v>
      </c>
      <c r="CB220" s="47">
        <f t="shared" si="109"/>
        <v>0</v>
      </c>
      <c r="CD220" s="59" t="s">
        <v>34</v>
      </c>
      <c r="CE220" s="60">
        <v>161491.14583333334</v>
      </c>
    </row>
    <row r="221" spans="2:84" ht="15" outlineLevel="1" x14ac:dyDescent="0.2">
      <c r="B221" s="18">
        <f t="shared" si="102"/>
        <v>44620</v>
      </c>
      <c r="C221" s="17" t="s">
        <v>1</v>
      </c>
      <c r="D221" s="19">
        <f t="shared" si="103"/>
        <v>44626</v>
      </c>
      <c r="E221" s="20">
        <f t="shared" si="104"/>
        <v>2</v>
      </c>
      <c r="F221" s="21">
        <f t="shared" si="105"/>
        <v>2022</v>
      </c>
      <c r="G221" s="11">
        <f t="shared" si="111"/>
        <v>22</v>
      </c>
      <c r="H221" s="10">
        <f t="shared" si="111"/>
        <v>66</v>
      </c>
      <c r="I221" s="11"/>
      <c r="J221" s="11"/>
      <c r="K221" s="11"/>
      <c r="L221" s="11"/>
      <c r="M221" s="11"/>
      <c r="N221" s="11"/>
      <c r="O221" s="14"/>
      <c r="P221" s="14"/>
      <c r="Q221" s="14"/>
      <c r="R221" s="14"/>
      <c r="S221" s="14"/>
      <c r="T221" s="14"/>
      <c r="V221" s="22">
        <f t="shared" si="110"/>
        <v>16</v>
      </c>
      <c r="W221" s="22">
        <f t="shared" si="110"/>
        <v>0</v>
      </c>
      <c r="X221" s="22">
        <f t="shared" si="110"/>
        <v>0</v>
      </c>
      <c r="Y221" s="22">
        <f t="shared" si="110"/>
        <v>0</v>
      </c>
      <c r="Z221" s="22">
        <f t="shared" si="110"/>
        <v>0</v>
      </c>
      <c r="AA221" s="22">
        <f t="shared" si="110"/>
        <v>0</v>
      </c>
      <c r="AB221" s="1"/>
      <c r="AC221" s="5">
        <f t="shared" ref="AC221:AC284" si="112">IF(AND(AS221&gt;=$V$2,AS221&lt;=$AA$2),LOOKUP(AS221,$V$2:$AA$2,$V221:$AA221),IF(AS220="A",0,IF(AC220=$H221,0,IF(AC220=0,0,AC220+1))))</f>
        <v>46</v>
      </c>
      <c r="AD221" s="5">
        <f t="shared" ref="AD221:AD284" si="113">IF(AND(AT221&gt;=$V$2,AT221&lt;=$AA$2),LOOKUP(AT221,$V$2:$AA$2,$V221:$AA221),IF(AT220="A",0,IF(AD220=$H221,0,IF(AD220=0,0,AD220+1))))</f>
        <v>36</v>
      </c>
      <c r="AE221" s="5">
        <f t="shared" ref="AE221:AE284" si="114">IF(AND(AU221&gt;=$V$2,AU221&lt;=$AA$2),LOOKUP(AU221,$V$2:$AA$2,$V221:$AA221),IF(AU220="A",0,IF(AE220=$H221,0,IF(AE220=0,0,AE220+1))))</f>
        <v>0</v>
      </c>
      <c r="AF221" s="5">
        <f t="shared" ref="AF221:AF284" si="115">IF(AND(AV221&gt;=$V$2,AV221&lt;=$AA$2),LOOKUP(AV221,$V$2:$AA$2,$V221:$AA221),IF(AV220="A",0,IF(AF220=$H221,0,IF(AF220=0,0,AF220+1))))</f>
        <v>0</v>
      </c>
      <c r="AG221" s="5">
        <f t="shared" ref="AG221:AG284" si="116">IF(AND(AW221&gt;=$V$2,AW221&lt;=$AA$2),LOOKUP(AW221,$V$2:$AA$2,$V221:$AA221),IF(AW220="A",0,IF(AG220=$H221,0,IF(AG220=0,0,AG220+1))))</f>
        <v>0</v>
      </c>
      <c r="AH221" s="5">
        <f t="shared" ref="AH221:AH284" si="117">IF(AND(AX221&gt;=$V$2,AX221&lt;=$AA$2),LOOKUP(AX221,$V$2:$AA$2,$V221:$AA221),IF(AX220="A",0,IF(AH220=$H221,0,IF(AH220=0,0,AH220+1))))</f>
        <v>0</v>
      </c>
      <c r="AI221" s="5">
        <f t="shared" ref="AI221:AI284" si="118">IF(AND(AY221&gt;=$V$2,AY221&lt;=$AA$2),LOOKUP(AY221,$V$2:$AA$2,$V221:$AA221),IF(AY220="A",0,IF(AI220=$H221,0,IF(AI220=0,0,AI220+1))))</f>
        <v>0</v>
      </c>
      <c r="AJ221" s="5">
        <f t="shared" ref="AJ221:AJ284" si="119">IF(AND(AZ221&gt;=$V$2,AZ221&lt;=$AA$2),LOOKUP(AZ221,$V$2:$AA$2,$V221:$AA221),IF(AZ220="A",0,IF(AJ220=$H221,0,IF(AJ220=0,0,AJ220+1))))</f>
        <v>0</v>
      </c>
      <c r="AK221" s="5">
        <f t="shared" ref="AK221:AK284" si="120">IF(AND(BA221&gt;=$V$2,BA221&lt;=$AA$2),LOOKUP(BA221,$V$2:$AA$2,$V221:$AA221),IF(BA220="A",0,IF(AK220=$H221,0,IF(AK220=0,0,AK220+1))))</f>
        <v>0</v>
      </c>
      <c r="AL221" s="5">
        <f t="shared" ref="AL221:AL284" si="121">IF(AND(BB221&gt;=$V$2,BB221&lt;=$AA$2),LOOKUP(BB221,$V$2:$AA$2,$V221:$AA221),IF(BB220="A",0,IF(AL220=$H221,0,IF(AL220=0,0,AL220+1))))</f>
        <v>0</v>
      </c>
      <c r="AM221" s="5">
        <f t="shared" ref="AM221:AM284" si="122">IF(AND(BC221&gt;=$V$2,BC221&lt;=$AA$2),LOOKUP(BC221,$V$2:$AA$2,$V221:$AA221),IF(BC220="A",0,IF(AM220=$H221,0,IF(AM220=0,0,AM220+1))))</f>
        <v>0</v>
      </c>
      <c r="AN221" s="5">
        <f t="shared" ref="AN221:AN284" si="123">IF(AND(BD221&gt;=$V$2,BD221&lt;=$AA$2),LOOKUP(BD221,$V$2:$AA$2,$V221:$AA221),IF(BD220="A",0,IF(AN220=$H221,0,IF(AN220=0,0,AN220+1))))</f>
        <v>0</v>
      </c>
      <c r="AO221" s="5">
        <f t="shared" ref="AO221:AO284" si="124">IF(AND(BE221&gt;=$V$2,BE221&lt;=$AA$2),LOOKUP(BE221,$V$2:$AA$2,$V221:$AA221),IF(BE220="A",0,IF(AO220=$H221,0,IF(AO220=0,0,AO220+1))))</f>
        <v>0</v>
      </c>
      <c r="AP221" s="5">
        <f t="shared" ref="AP221:AP284" si="125">IF(AND(BF221&gt;=$V$2,BF221&lt;=$AA$2),LOOKUP(BF221,$V$2:$AA$2,$V221:$AA221),IF(BF220="A",0,IF(AP220=$H221,0,IF(AP220=0,0,AP220+1))))</f>
        <v>0</v>
      </c>
      <c r="AQ221" s="5">
        <f t="shared" ref="AQ221:AQ284" si="126">IF(AND(BG221&gt;=$V$2,BG221&lt;=$AA$2),LOOKUP(BG221,$V$2:$AA$2,$V221:$AA221),IF(BG220="A",0,IF(AQ220=$H221,0,IF(AQ220=0,0,AQ220+1))))</f>
        <v>0</v>
      </c>
      <c r="AR221" s="5">
        <f t="shared" ref="AR221:AR284" si="127">IF(AND(BH221&gt;=$V$2,BH221&lt;=$AA$2),LOOKUP(BH221,$V$2:$AA$2,$V221:$AA221),IF(BH220="A",0,IF(AR220=$H221,0,IF(AR220=0,0,AR220+1))))</f>
        <v>0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M221" s="40">
        <f>IF(OR(V220=4,V220=8,V220=12,V220=16,V220=20),$CA$1,0)</f>
        <v>0</v>
      </c>
      <c r="BN221" s="40">
        <f>IF(OR(W220=4,W220=8,W220=12,W220=16,W220=20),$CA$1,0)</f>
        <v>0</v>
      </c>
      <c r="BO221" s="40">
        <f>IF(OR(X220=4,X220=8,X220=12,X220=16,X220=20),$CA$1,0)</f>
        <v>0</v>
      </c>
      <c r="BP221" s="40">
        <f>IF(OR(Y220=4,Y220=8,Y220=12,Y220=16,Y220=20),$CA$1,0)</f>
        <v>0</v>
      </c>
      <c r="BQ221" s="40">
        <f>IF(OR(Z220=4,Z220=8,Z220=12,Z220=16,Z220=20),$CA$1,0)</f>
        <v>0</v>
      </c>
      <c r="BR221" s="40">
        <f>IF(OR(AA220=4,AA220=8,AA220=12,AA220=16,AA220=20),$CA$1,0)</f>
        <v>0</v>
      </c>
      <c r="BS221" s="40">
        <f>IF(V217=20,$CB$1,0)</f>
        <v>0</v>
      </c>
      <c r="BT221" s="40">
        <f>IF(W217=20,$CB$1,0)</f>
        <v>0</v>
      </c>
      <c r="BU221" s="40">
        <f>IF(X217=20,$CB$1,0)</f>
        <v>0</v>
      </c>
      <c r="BV221" s="40">
        <f>IF(Y217=20,$CB$1,0)</f>
        <v>0</v>
      </c>
      <c r="BW221" s="40">
        <f>IF(Z217=20,$CB$1,0)</f>
        <v>0</v>
      </c>
      <c r="BX221" s="40">
        <f>IF(AA217=20,$CB$1,0)</f>
        <v>0</v>
      </c>
      <c r="BY221" s="41">
        <f t="shared" si="107"/>
        <v>0</v>
      </c>
      <c r="BZ221" s="41">
        <f t="shared" si="108"/>
        <v>161491.14583333334</v>
      </c>
      <c r="CA221" s="58">
        <f t="shared" si="98"/>
        <v>44620</v>
      </c>
      <c r="CB221" s="47">
        <f t="shared" si="109"/>
        <v>161491.14583333334</v>
      </c>
      <c r="CD221" s="59" t="s">
        <v>35</v>
      </c>
      <c r="CE221" s="60">
        <v>161491.14583333334</v>
      </c>
    </row>
    <row r="222" spans="2:84" ht="15" outlineLevel="1" x14ac:dyDescent="0.2">
      <c r="B222" s="18">
        <f t="shared" si="102"/>
        <v>44627</v>
      </c>
      <c r="C222" s="17" t="s">
        <v>1</v>
      </c>
      <c r="D222" s="19">
        <f t="shared" si="103"/>
        <v>44633</v>
      </c>
      <c r="E222" s="20">
        <f t="shared" si="104"/>
        <v>3</v>
      </c>
      <c r="F222" s="21">
        <f t="shared" si="105"/>
        <v>2022</v>
      </c>
      <c r="G222" s="11">
        <f t="shared" si="111"/>
        <v>22</v>
      </c>
      <c r="H222" s="10">
        <f t="shared" si="111"/>
        <v>66</v>
      </c>
      <c r="I222" s="11"/>
      <c r="J222" s="11"/>
      <c r="K222" s="11"/>
      <c r="L222" s="11"/>
      <c r="M222" s="11"/>
      <c r="N222" s="11"/>
      <c r="O222" s="14"/>
      <c r="P222" s="14"/>
      <c r="Q222" s="14"/>
      <c r="R222" s="14"/>
      <c r="S222" s="14"/>
      <c r="T222" s="14"/>
      <c r="V222" s="22">
        <f t="shared" si="110"/>
        <v>17</v>
      </c>
      <c r="W222" s="22">
        <f t="shared" si="110"/>
        <v>0</v>
      </c>
      <c r="X222" s="22">
        <f t="shared" si="110"/>
        <v>0</v>
      </c>
      <c r="Y222" s="22">
        <f t="shared" si="110"/>
        <v>0</v>
      </c>
      <c r="Z222" s="22">
        <f t="shared" si="110"/>
        <v>0</v>
      </c>
      <c r="AA222" s="22">
        <f t="shared" si="110"/>
        <v>0</v>
      </c>
      <c r="AB222" s="1"/>
      <c r="AC222" s="5">
        <f t="shared" si="112"/>
        <v>47</v>
      </c>
      <c r="AD222" s="5">
        <f t="shared" si="113"/>
        <v>37</v>
      </c>
      <c r="AE222" s="5">
        <f t="shared" si="114"/>
        <v>0</v>
      </c>
      <c r="AF222" s="5">
        <f t="shared" si="115"/>
        <v>0</v>
      </c>
      <c r="AG222" s="5">
        <f t="shared" si="116"/>
        <v>0</v>
      </c>
      <c r="AH222" s="5">
        <f t="shared" si="117"/>
        <v>0</v>
      </c>
      <c r="AI222" s="5">
        <f t="shared" si="118"/>
        <v>0</v>
      </c>
      <c r="AJ222" s="5">
        <f t="shared" si="119"/>
        <v>0</v>
      </c>
      <c r="AK222" s="5">
        <f t="shared" si="120"/>
        <v>0</v>
      </c>
      <c r="AL222" s="5">
        <f t="shared" si="121"/>
        <v>0</v>
      </c>
      <c r="AM222" s="5">
        <f t="shared" si="122"/>
        <v>0</v>
      </c>
      <c r="AN222" s="5">
        <f t="shared" si="123"/>
        <v>0</v>
      </c>
      <c r="AO222" s="5">
        <f t="shared" si="124"/>
        <v>0</v>
      </c>
      <c r="AP222" s="5">
        <f t="shared" si="125"/>
        <v>0</v>
      </c>
      <c r="AQ222" s="5">
        <f t="shared" si="126"/>
        <v>0</v>
      </c>
      <c r="AR222" s="5">
        <f t="shared" si="127"/>
        <v>0</v>
      </c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M222" s="40">
        <f>IF(OR(V221=4,V221=8,V221=12,V221=16,V221=20),$CA$1,0)</f>
        <v>161491.14583333334</v>
      </c>
      <c r="BN222" s="40">
        <f>IF(OR(W221=4,W221=8,W221=12,W221=16,W221=20),$CA$1,0)</f>
        <v>0</v>
      </c>
      <c r="BO222" s="40">
        <f>IF(OR(X221=4,X221=8,X221=12,X221=16,X221=20),$CA$1,0)</f>
        <v>0</v>
      </c>
      <c r="BP222" s="40">
        <f>IF(OR(Y221=4,Y221=8,Y221=12,Y221=16,Y221=20),$CA$1,0)</f>
        <v>0</v>
      </c>
      <c r="BQ222" s="40">
        <f>IF(OR(Z221=4,Z221=8,Z221=12,Z221=16,Z221=20),$CA$1,0)</f>
        <v>0</v>
      </c>
      <c r="BR222" s="40">
        <f>IF(OR(AA221=4,AA221=8,AA221=12,AA221=16,AA221=20),$CA$1,0)</f>
        <v>0</v>
      </c>
      <c r="BS222" s="40">
        <f>IF(V218=20,$CB$1,0)</f>
        <v>0</v>
      </c>
      <c r="BT222" s="40">
        <f>IF(W218=20,$CB$1,0)</f>
        <v>0</v>
      </c>
      <c r="BU222" s="40">
        <f>IF(X218=20,$CB$1,0)</f>
        <v>0</v>
      </c>
      <c r="BV222" s="40">
        <f>IF(Y218=20,$CB$1,0)</f>
        <v>0</v>
      </c>
      <c r="BW222" s="40">
        <f>IF(Z218=20,$CB$1,0)</f>
        <v>0</v>
      </c>
      <c r="BX222" s="40">
        <f>IF(AA218=20,$CB$1,0)</f>
        <v>0</v>
      </c>
      <c r="BY222" s="41">
        <f t="shared" si="107"/>
        <v>161491.14583333334</v>
      </c>
      <c r="BZ222" s="41">
        <f t="shared" si="108"/>
        <v>161491.14583333334</v>
      </c>
      <c r="CA222" s="58">
        <f t="shared" si="98"/>
        <v>44627</v>
      </c>
      <c r="CB222" s="47">
        <f t="shared" si="109"/>
        <v>0</v>
      </c>
      <c r="CD222" s="59" t="s">
        <v>36</v>
      </c>
      <c r="CE222" s="60">
        <v>161491.14583333334</v>
      </c>
    </row>
    <row r="223" spans="2:84" ht="15" outlineLevel="1" x14ac:dyDescent="0.2">
      <c r="B223" s="18">
        <f t="shared" si="102"/>
        <v>44634</v>
      </c>
      <c r="C223" s="17" t="s">
        <v>1</v>
      </c>
      <c r="D223" s="19">
        <f t="shared" si="103"/>
        <v>44640</v>
      </c>
      <c r="E223" s="20">
        <f t="shared" si="104"/>
        <v>3</v>
      </c>
      <c r="F223" s="21">
        <f t="shared" si="105"/>
        <v>2022</v>
      </c>
      <c r="G223" s="11">
        <f t="shared" si="111"/>
        <v>22</v>
      </c>
      <c r="H223" s="10">
        <f t="shared" si="111"/>
        <v>66</v>
      </c>
      <c r="I223" s="11"/>
      <c r="J223" s="11"/>
      <c r="K223" s="11"/>
      <c r="L223" s="11"/>
      <c r="M223" s="11"/>
      <c r="N223" s="11"/>
      <c r="O223" s="14"/>
      <c r="P223" s="14"/>
      <c r="Q223" s="14"/>
      <c r="R223" s="14"/>
      <c r="S223" s="14"/>
      <c r="T223" s="14"/>
      <c r="V223" s="22">
        <f t="shared" si="110"/>
        <v>18</v>
      </c>
      <c r="W223" s="22">
        <f t="shared" si="110"/>
        <v>0</v>
      </c>
      <c r="X223" s="22">
        <f t="shared" si="110"/>
        <v>0</v>
      </c>
      <c r="Y223" s="22">
        <f t="shared" si="110"/>
        <v>0</v>
      </c>
      <c r="Z223" s="22">
        <f t="shared" si="110"/>
        <v>0</v>
      </c>
      <c r="AA223" s="22">
        <f t="shared" si="110"/>
        <v>0</v>
      </c>
      <c r="AB223" s="1"/>
      <c r="AC223" s="5">
        <f t="shared" si="112"/>
        <v>48</v>
      </c>
      <c r="AD223" s="5">
        <f t="shared" si="113"/>
        <v>38</v>
      </c>
      <c r="AE223" s="5">
        <f t="shared" si="114"/>
        <v>0</v>
      </c>
      <c r="AF223" s="5">
        <f t="shared" si="115"/>
        <v>0</v>
      </c>
      <c r="AG223" s="5">
        <f t="shared" si="116"/>
        <v>0</v>
      </c>
      <c r="AH223" s="5">
        <f t="shared" si="117"/>
        <v>0</v>
      </c>
      <c r="AI223" s="5">
        <f t="shared" si="118"/>
        <v>0</v>
      </c>
      <c r="AJ223" s="5">
        <f t="shared" si="119"/>
        <v>0</v>
      </c>
      <c r="AK223" s="5">
        <f t="shared" si="120"/>
        <v>0</v>
      </c>
      <c r="AL223" s="5">
        <f t="shared" si="121"/>
        <v>0</v>
      </c>
      <c r="AM223" s="5">
        <f t="shared" si="122"/>
        <v>0</v>
      </c>
      <c r="AN223" s="5">
        <f t="shared" si="123"/>
        <v>0</v>
      </c>
      <c r="AO223" s="5">
        <f t="shared" si="124"/>
        <v>0</v>
      </c>
      <c r="AP223" s="5">
        <f t="shared" si="125"/>
        <v>0</v>
      </c>
      <c r="AQ223" s="5">
        <f t="shared" si="126"/>
        <v>0</v>
      </c>
      <c r="AR223" s="5">
        <f t="shared" si="127"/>
        <v>0</v>
      </c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M223" s="40">
        <f>IF(OR(V222=4,V222=8,V222=12,V222=16,V222=20),$CA$1,0)</f>
        <v>0</v>
      </c>
      <c r="BN223" s="40">
        <f>IF(OR(W222=4,W222=8,W222=12,W222=16,W222=20),$CA$1,0)</f>
        <v>0</v>
      </c>
      <c r="BO223" s="40">
        <f>IF(OR(X222=4,X222=8,X222=12,X222=16,X222=20),$CA$1,0)</f>
        <v>0</v>
      </c>
      <c r="BP223" s="40">
        <f>IF(OR(Y222=4,Y222=8,Y222=12,Y222=16,Y222=20),$CA$1,0)</f>
        <v>0</v>
      </c>
      <c r="BQ223" s="40">
        <f>IF(OR(Z222=4,Z222=8,Z222=12,Z222=16,Z222=20),$CA$1,0)</f>
        <v>0</v>
      </c>
      <c r="BR223" s="40">
        <f>IF(OR(AA222=4,AA222=8,AA222=12,AA222=16,AA222=20),$CA$1,0)</f>
        <v>0</v>
      </c>
      <c r="BS223" s="40">
        <f>IF(V219=20,$CB$1,0)</f>
        <v>0</v>
      </c>
      <c r="BT223" s="40">
        <f>IF(W219=20,$CB$1,0)</f>
        <v>0</v>
      </c>
      <c r="BU223" s="40">
        <f>IF(X219=20,$CB$1,0)</f>
        <v>0</v>
      </c>
      <c r="BV223" s="40">
        <f>IF(Y219=20,$CB$1,0)</f>
        <v>0</v>
      </c>
      <c r="BW223" s="40">
        <f>IF(Z219=20,$CB$1,0)</f>
        <v>0</v>
      </c>
      <c r="BX223" s="40">
        <f>IF(AA219=20,$CB$1,0)</f>
        <v>0</v>
      </c>
      <c r="BY223" s="41">
        <f t="shared" si="107"/>
        <v>0</v>
      </c>
      <c r="BZ223" s="41">
        <f t="shared" si="108"/>
        <v>161491.14583333334</v>
      </c>
      <c r="CA223" s="58">
        <f t="shared" si="98"/>
        <v>44634</v>
      </c>
      <c r="CB223" s="47">
        <f t="shared" si="109"/>
        <v>0</v>
      </c>
      <c r="CD223" s="59" t="s">
        <v>37</v>
      </c>
      <c r="CE223" s="60">
        <v>813016.64166666672</v>
      </c>
      <c r="CF223" s="60">
        <f>SUM(CE218:CE223)</f>
        <v>1458981.2250000001</v>
      </c>
    </row>
    <row r="224" spans="2:84" ht="15" outlineLevel="1" x14ac:dyDescent="0.2">
      <c r="B224" s="18">
        <f t="shared" si="102"/>
        <v>44641</v>
      </c>
      <c r="C224" s="17" t="s">
        <v>1</v>
      </c>
      <c r="D224" s="19">
        <f t="shared" si="103"/>
        <v>44647</v>
      </c>
      <c r="E224" s="20">
        <f t="shared" si="104"/>
        <v>3</v>
      </c>
      <c r="F224" s="21">
        <f t="shared" si="105"/>
        <v>2022</v>
      </c>
      <c r="G224" s="11">
        <f t="shared" si="111"/>
        <v>22</v>
      </c>
      <c r="H224" s="10">
        <f t="shared" si="111"/>
        <v>66</v>
      </c>
      <c r="I224" s="11"/>
      <c r="J224" s="11"/>
      <c r="K224" s="11"/>
      <c r="L224" s="11"/>
      <c r="M224" s="11"/>
      <c r="N224" s="11"/>
      <c r="O224" s="14"/>
      <c r="P224" s="14"/>
      <c r="Q224" s="14"/>
      <c r="R224" s="14"/>
      <c r="S224" s="14"/>
      <c r="T224" s="14"/>
      <c r="V224" s="22">
        <f t="shared" si="110"/>
        <v>19</v>
      </c>
      <c r="W224" s="22">
        <f t="shared" si="110"/>
        <v>0</v>
      </c>
      <c r="X224" s="22">
        <f t="shared" si="110"/>
        <v>0</v>
      </c>
      <c r="Y224" s="22">
        <f t="shared" si="110"/>
        <v>0</v>
      </c>
      <c r="Z224" s="22">
        <f t="shared" si="110"/>
        <v>0</v>
      </c>
      <c r="AA224" s="22">
        <f t="shared" si="110"/>
        <v>0</v>
      </c>
      <c r="AB224" s="1"/>
      <c r="AC224" s="5">
        <f t="shared" si="112"/>
        <v>49</v>
      </c>
      <c r="AD224" s="5">
        <f t="shared" si="113"/>
        <v>39</v>
      </c>
      <c r="AE224" s="5">
        <f t="shared" si="114"/>
        <v>0</v>
      </c>
      <c r="AF224" s="5">
        <f t="shared" si="115"/>
        <v>0</v>
      </c>
      <c r="AG224" s="5">
        <f t="shared" si="116"/>
        <v>0</v>
      </c>
      <c r="AH224" s="5">
        <f t="shared" si="117"/>
        <v>0</v>
      </c>
      <c r="AI224" s="5">
        <f t="shared" si="118"/>
        <v>0</v>
      </c>
      <c r="AJ224" s="5">
        <f t="shared" si="119"/>
        <v>0</v>
      </c>
      <c r="AK224" s="5">
        <f t="shared" si="120"/>
        <v>0</v>
      </c>
      <c r="AL224" s="5">
        <f t="shared" si="121"/>
        <v>0</v>
      </c>
      <c r="AM224" s="5">
        <f t="shared" si="122"/>
        <v>0</v>
      </c>
      <c r="AN224" s="5">
        <f t="shared" si="123"/>
        <v>0</v>
      </c>
      <c r="AO224" s="5">
        <f t="shared" si="124"/>
        <v>0</v>
      </c>
      <c r="AP224" s="5">
        <f t="shared" si="125"/>
        <v>0</v>
      </c>
      <c r="AQ224" s="5">
        <f t="shared" si="126"/>
        <v>0</v>
      </c>
      <c r="AR224" s="5">
        <f t="shared" si="127"/>
        <v>0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M224" s="40">
        <f>IF(OR(V223=4,V223=8,V223=12,V223=16,V223=20),$CA$1,0)</f>
        <v>0</v>
      </c>
      <c r="BN224" s="40">
        <f>IF(OR(W223=4,W223=8,W223=12,W223=16,W223=20),$CA$1,0)</f>
        <v>0</v>
      </c>
      <c r="BO224" s="40">
        <f>IF(OR(X223=4,X223=8,X223=12,X223=16,X223=20),$CA$1,0)</f>
        <v>0</v>
      </c>
      <c r="BP224" s="40">
        <f>IF(OR(Y223=4,Y223=8,Y223=12,Y223=16,Y223=20),$CA$1,0)</f>
        <v>0</v>
      </c>
      <c r="BQ224" s="40">
        <f>IF(OR(Z223=4,Z223=8,Z223=12,Z223=16,Z223=20),$CA$1,0)</f>
        <v>0</v>
      </c>
      <c r="BR224" s="40">
        <f>IF(OR(AA223=4,AA223=8,AA223=12,AA223=16,AA223=20),$CA$1,0)</f>
        <v>0</v>
      </c>
      <c r="BS224" s="40">
        <f>IF(V220=20,$CB$1,0)</f>
        <v>0</v>
      </c>
      <c r="BT224" s="40">
        <f>IF(W220=20,$CB$1,0)</f>
        <v>0</v>
      </c>
      <c r="BU224" s="40">
        <f>IF(X220=20,$CB$1,0)</f>
        <v>0</v>
      </c>
      <c r="BV224" s="40">
        <f>IF(Y220=20,$CB$1,0)</f>
        <v>0</v>
      </c>
      <c r="BW224" s="40">
        <f>IF(Z220=20,$CB$1,0)</f>
        <v>0</v>
      </c>
      <c r="BX224" s="40">
        <f>IF(AA220=20,$CB$1,0)</f>
        <v>0</v>
      </c>
      <c r="BY224" s="41">
        <f t="shared" si="107"/>
        <v>0</v>
      </c>
      <c r="BZ224" s="41">
        <f t="shared" si="108"/>
        <v>161491.14583333334</v>
      </c>
      <c r="CA224" s="58">
        <f t="shared" si="98"/>
        <v>44641</v>
      </c>
      <c r="CB224" s="47">
        <f t="shared" si="109"/>
        <v>0</v>
      </c>
      <c r="CD224" s="59" t="s">
        <v>38</v>
      </c>
      <c r="CE224" s="60">
        <v>0</v>
      </c>
    </row>
    <row r="225" spans="2:84" ht="15" outlineLevel="1" x14ac:dyDescent="0.2">
      <c r="B225" s="18">
        <f t="shared" si="102"/>
        <v>44648</v>
      </c>
      <c r="C225" s="17" t="s">
        <v>1</v>
      </c>
      <c r="D225" s="19">
        <f t="shared" si="103"/>
        <v>44654</v>
      </c>
      <c r="E225" s="20">
        <f t="shared" si="104"/>
        <v>3</v>
      </c>
      <c r="F225" s="21">
        <f t="shared" si="105"/>
        <v>2022</v>
      </c>
      <c r="G225" s="11">
        <f t="shared" si="111"/>
        <v>22</v>
      </c>
      <c r="H225" s="10">
        <f t="shared" si="111"/>
        <v>66</v>
      </c>
      <c r="I225" s="11"/>
      <c r="J225" s="11"/>
      <c r="K225" s="11"/>
      <c r="L225" s="11"/>
      <c r="M225" s="11"/>
      <c r="N225" s="11"/>
      <c r="O225" s="14"/>
      <c r="P225" s="14"/>
      <c r="Q225" s="14"/>
      <c r="R225" s="14"/>
      <c r="S225" s="14"/>
      <c r="T225" s="14"/>
      <c r="V225" s="22">
        <f t="shared" si="110"/>
        <v>20</v>
      </c>
      <c r="W225" s="22">
        <f t="shared" si="110"/>
        <v>0</v>
      </c>
      <c r="X225" s="22">
        <f t="shared" si="110"/>
        <v>0</v>
      </c>
      <c r="Y225" s="22">
        <f t="shared" si="110"/>
        <v>0</v>
      </c>
      <c r="Z225" s="22">
        <f t="shared" si="110"/>
        <v>0</v>
      </c>
      <c r="AA225" s="22">
        <f t="shared" si="110"/>
        <v>0</v>
      </c>
      <c r="AB225" s="1"/>
      <c r="AC225" s="5">
        <f t="shared" si="112"/>
        <v>50</v>
      </c>
      <c r="AD225" s="5">
        <f t="shared" si="113"/>
        <v>40</v>
      </c>
      <c r="AE225" s="5">
        <f t="shared" si="114"/>
        <v>0</v>
      </c>
      <c r="AF225" s="5">
        <f t="shared" si="115"/>
        <v>0</v>
      </c>
      <c r="AG225" s="5">
        <f t="shared" si="116"/>
        <v>0</v>
      </c>
      <c r="AH225" s="5">
        <f t="shared" si="117"/>
        <v>0</v>
      </c>
      <c r="AI225" s="5">
        <f t="shared" si="118"/>
        <v>0</v>
      </c>
      <c r="AJ225" s="5">
        <f t="shared" si="119"/>
        <v>0</v>
      </c>
      <c r="AK225" s="5">
        <f t="shared" si="120"/>
        <v>0</v>
      </c>
      <c r="AL225" s="5">
        <f t="shared" si="121"/>
        <v>0</v>
      </c>
      <c r="AM225" s="5">
        <f t="shared" si="122"/>
        <v>0</v>
      </c>
      <c r="AN225" s="5">
        <f t="shared" si="123"/>
        <v>0</v>
      </c>
      <c r="AO225" s="5">
        <f t="shared" si="124"/>
        <v>0</v>
      </c>
      <c r="AP225" s="5">
        <f t="shared" si="125"/>
        <v>0</v>
      </c>
      <c r="AQ225" s="5">
        <f t="shared" si="126"/>
        <v>0</v>
      </c>
      <c r="AR225" s="5">
        <f t="shared" si="127"/>
        <v>0</v>
      </c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M225" s="40">
        <f>IF(OR(V224=4,V224=8,V224=12,V224=16,V224=20),$CA$1,0)</f>
        <v>0</v>
      </c>
      <c r="BN225" s="40">
        <f>IF(OR(W224=4,W224=8,W224=12,W224=16,W224=20),$CA$1,0)</f>
        <v>0</v>
      </c>
      <c r="BO225" s="40">
        <f>IF(OR(X224=4,X224=8,X224=12,X224=16,X224=20),$CA$1,0)</f>
        <v>0</v>
      </c>
      <c r="BP225" s="40">
        <f>IF(OR(Y224=4,Y224=8,Y224=12,Y224=16,Y224=20),$CA$1,0)</f>
        <v>0</v>
      </c>
      <c r="BQ225" s="40">
        <f>IF(OR(Z224=4,Z224=8,Z224=12,Z224=16,Z224=20),$CA$1,0)</f>
        <v>0</v>
      </c>
      <c r="BR225" s="40">
        <f>IF(OR(AA224=4,AA224=8,AA224=12,AA224=16,AA224=20),$CA$1,0)</f>
        <v>0</v>
      </c>
      <c r="BS225" s="40">
        <f>IF(V221=20,$CB$1,0)</f>
        <v>0</v>
      </c>
      <c r="BT225" s="40">
        <f>IF(W221=20,$CB$1,0)</f>
        <v>0</v>
      </c>
      <c r="BU225" s="40">
        <f>IF(X221=20,$CB$1,0)</f>
        <v>0</v>
      </c>
      <c r="BV225" s="40">
        <f>IF(Y221=20,$CB$1,0)</f>
        <v>0</v>
      </c>
      <c r="BW225" s="40">
        <f>IF(Z221=20,$CB$1,0)</f>
        <v>0</v>
      </c>
      <c r="BX225" s="40">
        <f>IF(AA221=20,$CB$1,0)</f>
        <v>0</v>
      </c>
      <c r="BY225" s="41">
        <f t="shared" si="107"/>
        <v>0</v>
      </c>
      <c r="BZ225" s="41">
        <f t="shared" si="108"/>
        <v>161491.14583333334</v>
      </c>
      <c r="CA225" s="58">
        <f t="shared" si="98"/>
        <v>44648</v>
      </c>
      <c r="CB225" s="47">
        <f t="shared" si="109"/>
        <v>161491.14583333334</v>
      </c>
      <c r="CD225" s="59" t="s">
        <v>27</v>
      </c>
      <c r="CE225" s="60">
        <v>161491.14583333334</v>
      </c>
      <c r="CF225" s="60"/>
    </row>
    <row r="226" spans="2:84" ht="15" outlineLevel="1" x14ac:dyDescent="0.2">
      <c r="B226" s="18">
        <f t="shared" si="102"/>
        <v>44655</v>
      </c>
      <c r="C226" s="17" t="s">
        <v>1</v>
      </c>
      <c r="D226" s="19">
        <f t="shared" si="103"/>
        <v>44661</v>
      </c>
      <c r="E226" s="20">
        <f t="shared" si="104"/>
        <v>4</v>
      </c>
      <c r="F226" s="21">
        <f t="shared" si="105"/>
        <v>2022</v>
      </c>
      <c r="G226" s="11">
        <f t="shared" si="111"/>
        <v>22</v>
      </c>
      <c r="H226" s="10">
        <f t="shared" si="111"/>
        <v>66</v>
      </c>
      <c r="I226" s="11"/>
      <c r="J226" s="11"/>
      <c r="K226" s="11"/>
      <c r="L226" s="11"/>
      <c r="M226" s="11"/>
      <c r="N226" s="11"/>
      <c r="O226" s="14"/>
      <c r="P226" s="14"/>
      <c r="Q226" s="14"/>
      <c r="R226" s="14"/>
      <c r="S226" s="14"/>
      <c r="T226" s="14"/>
      <c r="V226" s="22">
        <f t="shared" si="110"/>
        <v>21</v>
      </c>
      <c r="W226" s="22">
        <f t="shared" si="110"/>
        <v>0</v>
      </c>
      <c r="X226" s="22">
        <f t="shared" si="110"/>
        <v>0</v>
      </c>
      <c r="Y226" s="22">
        <f t="shared" si="110"/>
        <v>0</v>
      </c>
      <c r="Z226" s="22">
        <f t="shared" si="110"/>
        <v>0</v>
      </c>
      <c r="AA226" s="22">
        <f t="shared" si="110"/>
        <v>0</v>
      </c>
      <c r="AB226" s="1"/>
      <c r="AC226" s="5">
        <f t="shared" si="112"/>
        <v>51</v>
      </c>
      <c r="AD226" s="5">
        <f t="shared" si="113"/>
        <v>41</v>
      </c>
      <c r="AE226" s="5">
        <f t="shared" si="114"/>
        <v>0</v>
      </c>
      <c r="AF226" s="5">
        <f t="shared" si="115"/>
        <v>0</v>
      </c>
      <c r="AG226" s="5">
        <f t="shared" si="116"/>
        <v>0</v>
      </c>
      <c r="AH226" s="5">
        <f t="shared" si="117"/>
        <v>0</v>
      </c>
      <c r="AI226" s="5">
        <f t="shared" si="118"/>
        <v>0</v>
      </c>
      <c r="AJ226" s="5">
        <f t="shared" si="119"/>
        <v>0</v>
      </c>
      <c r="AK226" s="5">
        <f t="shared" si="120"/>
        <v>0</v>
      </c>
      <c r="AL226" s="5">
        <f t="shared" si="121"/>
        <v>0</v>
      </c>
      <c r="AM226" s="5">
        <f t="shared" si="122"/>
        <v>0</v>
      </c>
      <c r="AN226" s="5">
        <f t="shared" si="123"/>
        <v>0</v>
      </c>
      <c r="AO226" s="5">
        <f t="shared" si="124"/>
        <v>0</v>
      </c>
      <c r="AP226" s="5">
        <f t="shared" si="125"/>
        <v>0</v>
      </c>
      <c r="AQ226" s="5">
        <f t="shared" si="126"/>
        <v>0</v>
      </c>
      <c r="AR226" s="5">
        <f t="shared" si="127"/>
        <v>0</v>
      </c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M226" s="40">
        <f>IF(OR(V225=4,V225=8,V225=12,V225=16,V225=20),$CA$1,0)</f>
        <v>161491.14583333334</v>
      </c>
      <c r="BN226" s="40">
        <f>IF(OR(W225=4,W225=8,W225=12,W225=16,W225=20),$CA$1,0)</f>
        <v>0</v>
      </c>
      <c r="BO226" s="40">
        <f>IF(OR(X225=4,X225=8,X225=12,X225=16,X225=20),$CA$1,0)</f>
        <v>0</v>
      </c>
      <c r="BP226" s="40">
        <f>IF(OR(Y225=4,Y225=8,Y225=12,Y225=16,Y225=20),$CA$1,0)</f>
        <v>0</v>
      </c>
      <c r="BQ226" s="40">
        <f>IF(OR(Z225=4,Z225=8,Z225=12,Z225=16,Z225=20),$CA$1,0)</f>
        <v>0</v>
      </c>
      <c r="BR226" s="40">
        <f>IF(OR(AA225=4,AA225=8,AA225=12,AA225=16,AA225=20),$CA$1,0)</f>
        <v>0</v>
      </c>
      <c r="BS226" s="40">
        <f>IF(V222=20,$CB$1,0)</f>
        <v>0</v>
      </c>
      <c r="BT226" s="40">
        <f>IF(W222=20,$CB$1,0)</f>
        <v>0</v>
      </c>
      <c r="BU226" s="40">
        <f>IF(X222=20,$CB$1,0)</f>
        <v>0</v>
      </c>
      <c r="BV226" s="40">
        <f>IF(Y222=20,$CB$1,0)</f>
        <v>0</v>
      </c>
      <c r="BW226" s="40">
        <f>IF(Z222=20,$CB$1,0)</f>
        <v>0</v>
      </c>
      <c r="BX226" s="40">
        <f>IF(AA222=20,$CB$1,0)</f>
        <v>0</v>
      </c>
      <c r="BY226" s="41">
        <f t="shared" si="107"/>
        <v>161491.14583333334</v>
      </c>
      <c r="BZ226" s="41">
        <f t="shared" si="108"/>
        <v>161491.14583333334</v>
      </c>
      <c r="CA226" s="58">
        <f t="shared" si="98"/>
        <v>44655</v>
      </c>
      <c r="CB226" s="47">
        <f t="shared" si="109"/>
        <v>0</v>
      </c>
      <c r="CD226" s="57" t="s">
        <v>25</v>
      </c>
      <c r="CE226" s="60">
        <v>2917962.4499999997</v>
      </c>
    </row>
    <row r="227" spans="2:84" ht="15" outlineLevel="1" x14ac:dyDescent="0.2">
      <c r="B227" s="18">
        <f t="shared" si="102"/>
        <v>44662</v>
      </c>
      <c r="C227" s="17" t="s">
        <v>1</v>
      </c>
      <c r="D227" s="19">
        <f t="shared" si="103"/>
        <v>44668</v>
      </c>
      <c r="E227" s="20">
        <f t="shared" si="104"/>
        <v>4</v>
      </c>
      <c r="F227" s="21">
        <f t="shared" si="105"/>
        <v>2022</v>
      </c>
      <c r="G227" s="11">
        <f t="shared" si="111"/>
        <v>22</v>
      </c>
      <c r="H227" s="10">
        <f t="shared" si="111"/>
        <v>66</v>
      </c>
      <c r="I227" s="11"/>
      <c r="J227" s="11"/>
      <c r="K227" s="11"/>
      <c r="L227" s="11"/>
      <c r="M227" s="11"/>
      <c r="N227" s="11"/>
      <c r="O227" s="14"/>
      <c r="P227" s="14"/>
      <c r="Q227" s="14"/>
      <c r="R227" s="14"/>
      <c r="S227" s="14"/>
      <c r="T227" s="14"/>
      <c r="V227" s="22">
        <f t="shared" si="110"/>
        <v>22</v>
      </c>
      <c r="W227" s="22">
        <f t="shared" si="110"/>
        <v>0</v>
      </c>
      <c r="X227" s="22">
        <f t="shared" si="110"/>
        <v>0</v>
      </c>
      <c r="Y227" s="22">
        <f t="shared" si="110"/>
        <v>0</v>
      </c>
      <c r="Z227" s="22">
        <f t="shared" si="110"/>
        <v>0</v>
      </c>
      <c r="AA227" s="22">
        <f t="shared" si="110"/>
        <v>0</v>
      </c>
      <c r="AB227" s="1"/>
      <c r="AC227" s="5">
        <f t="shared" si="112"/>
        <v>52</v>
      </c>
      <c r="AD227" s="5">
        <f t="shared" si="113"/>
        <v>42</v>
      </c>
      <c r="AE227" s="5">
        <f t="shared" si="114"/>
        <v>22</v>
      </c>
      <c r="AF227" s="5">
        <f t="shared" si="115"/>
        <v>0</v>
      </c>
      <c r="AG227" s="5">
        <f t="shared" si="116"/>
        <v>0</v>
      </c>
      <c r="AH227" s="5">
        <f t="shared" si="117"/>
        <v>0</v>
      </c>
      <c r="AI227" s="5">
        <f t="shared" si="118"/>
        <v>0</v>
      </c>
      <c r="AJ227" s="5">
        <f t="shared" si="119"/>
        <v>0</v>
      </c>
      <c r="AK227" s="5">
        <f t="shared" si="120"/>
        <v>0</v>
      </c>
      <c r="AL227" s="5">
        <f t="shared" si="121"/>
        <v>0</v>
      </c>
      <c r="AM227" s="5">
        <f t="shared" si="122"/>
        <v>0</v>
      </c>
      <c r="AN227" s="5">
        <f t="shared" si="123"/>
        <v>0</v>
      </c>
      <c r="AO227" s="5">
        <f t="shared" si="124"/>
        <v>0</v>
      </c>
      <c r="AP227" s="5">
        <f t="shared" si="125"/>
        <v>0</v>
      </c>
      <c r="AQ227" s="5">
        <f t="shared" si="126"/>
        <v>0</v>
      </c>
      <c r="AR227" s="5">
        <f t="shared" si="127"/>
        <v>0</v>
      </c>
      <c r="AS227" s="10"/>
      <c r="AT227" s="10"/>
      <c r="AU227" s="10">
        <v>1</v>
      </c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M227" s="40">
        <f>IF(OR(V226=4,V226=8,V226=12,V226=16,V226=20),$CA$1,0)</f>
        <v>0</v>
      </c>
      <c r="BN227" s="40">
        <f>IF(OR(W226=4,W226=8,W226=12,W226=16,W226=20),$CA$1,0)</f>
        <v>0</v>
      </c>
      <c r="BO227" s="40">
        <f>IF(OR(X226=4,X226=8,X226=12,X226=16,X226=20),$CA$1,0)</f>
        <v>0</v>
      </c>
      <c r="BP227" s="40">
        <f>IF(OR(Y226=4,Y226=8,Y226=12,Y226=16,Y226=20),$CA$1,0)</f>
        <v>0</v>
      </c>
      <c r="BQ227" s="40">
        <f>IF(OR(Z226=4,Z226=8,Z226=12,Z226=16,Z226=20),$CA$1,0)</f>
        <v>0</v>
      </c>
      <c r="BR227" s="40">
        <f>IF(OR(AA226=4,AA226=8,AA226=12,AA226=16,AA226=20),$CA$1,0)</f>
        <v>0</v>
      </c>
      <c r="BS227" s="40">
        <f>IF(V223=20,$CB$1,0)</f>
        <v>0</v>
      </c>
      <c r="BT227" s="40">
        <f>IF(W223=20,$CB$1,0)</f>
        <v>0</v>
      </c>
      <c r="BU227" s="40">
        <f>IF(X223=20,$CB$1,0)</f>
        <v>0</v>
      </c>
      <c r="BV227" s="40">
        <f>IF(Y223=20,$CB$1,0)</f>
        <v>0</v>
      </c>
      <c r="BW227" s="40">
        <f>IF(Z223=20,$CB$1,0)</f>
        <v>0</v>
      </c>
      <c r="BX227" s="40">
        <f>IF(AA223=20,$CB$1,0)</f>
        <v>0</v>
      </c>
      <c r="BY227" s="41">
        <f t="shared" si="107"/>
        <v>0</v>
      </c>
      <c r="BZ227" s="41">
        <f t="shared" si="108"/>
        <v>161491.14583333334</v>
      </c>
      <c r="CA227" s="58">
        <f t="shared" si="98"/>
        <v>44662</v>
      </c>
      <c r="CB227" s="47">
        <f t="shared" si="109"/>
        <v>0</v>
      </c>
      <c r="CE227"/>
    </row>
    <row r="228" spans="2:84" ht="15" outlineLevel="1" x14ac:dyDescent="0.2">
      <c r="B228" s="18">
        <f t="shared" si="102"/>
        <v>44669</v>
      </c>
      <c r="C228" s="17" t="s">
        <v>1</v>
      </c>
      <c r="D228" s="19">
        <f t="shared" si="103"/>
        <v>44675</v>
      </c>
      <c r="E228" s="20">
        <f t="shared" si="104"/>
        <v>4</v>
      </c>
      <c r="F228" s="21">
        <f t="shared" si="105"/>
        <v>2022</v>
      </c>
      <c r="G228" s="11">
        <f t="shared" si="111"/>
        <v>22</v>
      </c>
      <c r="H228" s="10">
        <f t="shared" si="111"/>
        <v>66</v>
      </c>
      <c r="I228" s="11"/>
      <c r="J228" s="11"/>
      <c r="K228" s="11"/>
      <c r="L228" s="11"/>
      <c r="M228" s="11"/>
      <c r="N228" s="11"/>
      <c r="O228" s="14"/>
      <c r="P228" s="14"/>
      <c r="Q228" s="14"/>
      <c r="R228" s="14"/>
      <c r="S228" s="14"/>
      <c r="T228" s="14"/>
      <c r="V228" s="22">
        <f t="shared" ref="V228:AA243" si="128">IF(I228&gt;0,I228,IF(O228=1,$B228+2,IF(O227=1,1,IF(O227=2,0,IF(V227=$G227,0,(IF(V227&gt;=1,V227+1,0)))))))</f>
        <v>0</v>
      </c>
      <c r="W228" s="22">
        <f t="shared" si="128"/>
        <v>0</v>
      </c>
      <c r="X228" s="22">
        <f t="shared" si="128"/>
        <v>0</v>
      </c>
      <c r="Y228" s="22">
        <f t="shared" si="128"/>
        <v>0</v>
      </c>
      <c r="Z228" s="22">
        <f t="shared" si="128"/>
        <v>0</v>
      </c>
      <c r="AA228" s="22">
        <f t="shared" si="128"/>
        <v>0</v>
      </c>
      <c r="AB228" s="1"/>
      <c r="AC228" s="5">
        <f t="shared" si="112"/>
        <v>53</v>
      </c>
      <c r="AD228" s="5">
        <f t="shared" si="113"/>
        <v>43</v>
      </c>
      <c r="AE228" s="5">
        <f t="shared" si="114"/>
        <v>23</v>
      </c>
      <c r="AF228" s="5">
        <f t="shared" si="115"/>
        <v>0</v>
      </c>
      <c r="AG228" s="5">
        <f t="shared" si="116"/>
        <v>0</v>
      </c>
      <c r="AH228" s="5">
        <f t="shared" si="117"/>
        <v>0</v>
      </c>
      <c r="AI228" s="5">
        <f t="shared" si="118"/>
        <v>0</v>
      </c>
      <c r="AJ228" s="5">
        <f t="shared" si="119"/>
        <v>0</v>
      </c>
      <c r="AK228" s="5">
        <f t="shared" si="120"/>
        <v>0</v>
      </c>
      <c r="AL228" s="5">
        <f t="shared" si="121"/>
        <v>0</v>
      </c>
      <c r="AM228" s="5">
        <f t="shared" si="122"/>
        <v>0</v>
      </c>
      <c r="AN228" s="5">
        <f t="shared" si="123"/>
        <v>0</v>
      </c>
      <c r="AO228" s="5">
        <f t="shared" si="124"/>
        <v>0</v>
      </c>
      <c r="AP228" s="5">
        <f t="shared" si="125"/>
        <v>0</v>
      </c>
      <c r="AQ228" s="5">
        <f t="shared" si="126"/>
        <v>0</v>
      </c>
      <c r="AR228" s="5">
        <f t="shared" si="127"/>
        <v>0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M228" s="40">
        <f>IF(OR(V227=4,V227=8,V227=12,V227=16,V227=20),$CA$1,0)</f>
        <v>0</v>
      </c>
      <c r="BN228" s="40">
        <f>IF(OR(W227=4,W227=8,W227=12,W227=16,W227=20),$CA$1,0)</f>
        <v>0</v>
      </c>
      <c r="BO228" s="40">
        <f>IF(OR(X227=4,X227=8,X227=12,X227=16,X227=20),$CA$1,0)</f>
        <v>0</v>
      </c>
      <c r="BP228" s="40">
        <f>IF(OR(Y227=4,Y227=8,Y227=12,Y227=16,Y227=20),$CA$1,0)</f>
        <v>0</v>
      </c>
      <c r="BQ228" s="40">
        <f>IF(OR(Z227=4,Z227=8,Z227=12,Z227=16,Z227=20),$CA$1,0)</f>
        <v>0</v>
      </c>
      <c r="BR228" s="40">
        <f>IF(OR(AA227=4,AA227=8,AA227=12,AA227=16,AA227=20),$CA$1,0)</f>
        <v>0</v>
      </c>
      <c r="BS228" s="40">
        <f>IF(V224=20,$CB$1,0)</f>
        <v>0</v>
      </c>
      <c r="BT228" s="40">
        <f>IF(W224=20,$CB$1,0)</f>
        <v>0</v>
      </c>
      <c r="BU228" s="40">
        <f>IF(X224=20,$CB$1,0)</f>
        <v>0</v>
      </c>
      <c r="BV228" s="40">
        <f>IF(Y224=20,$CB$1,0)</f>
        <v>0</v>
      </c>
      <c r="BW228" s="40">
        <f>IF(Z224=20,$CB$1,0)</f>
        <v>0</v>
      </c>
      <c r="BX228" s="40">
        <f>IF(AA224=20,$CB$1,0)</f>
        <v>0</v>
      </c>
      <c r="BY228" s="41">
        <f t="shared" si="107"/>
        <v>0</v>
      </c>
      <c r="BZ228" s="41">
        <f t="shared" si="108"/>
        <v>161491.14583333334</v>
      </c>
      <c r="CA228" s="58">
        <f t="shared" si="98"/>
        <v>44669</v>
      </c>
      <c r="CB228" s="47">
        <f t="shared" si="109"/>
        <v>0</v>
      </c>
      <c r="CE228"/>
    </row>
    <row r="229" spans="2:84" ht="15" outlineLevel="1" x14ac:dyDescent="0.2">
      <c r="B229" s="18">
        <f t="shared" si="102"/>
        <v>44676</v>
      </c>
      <c r="C229" s="17" t="s">
        <v>1</v>
      </c>
      <c r="D229" s="19">
        <f t="shared" si="103"/>
        <v>44682</v>
      </c>
      <c r="E229" s="20">
        <f t="shared" si="104"/>
        <v>4</v>
      </c>
      <c r="F229" s="21">
        <f t="shared" si="105"/>
        <v>2022</v>
      </c>
      <c r="G229" s="11">
        <f t="shared" si="111"/>
        <v>22</v>
      </c>
      <c r="H229" s="10">
        <f t="shared" si="111"/>
        <v>66</v>
      </c>
      <c r="I229" s="11"/>
      <c r="J229" s="11"/>
      <c r="K229" s="11"/>
      <c r="L229" s="11"/>
      <c r="M229" s="11"/>
      <c r="N229" s="11"/>
      <c r="O229" s="14"/>
      <c r="P229" s="14"/>
      <c r="Q229" s="14"/>
      <c r="R229" s="14"/>
      <c r="S229" s="14"/>
      <c r="T229" s="14"/>
      <c r="V229" s="22">
        <f t="shared" si="128"/>
        <v>0</v>
      </c>
      <c r="W229" s="22">
        <f t="shared" si="128"/>
        <v>0</v>
      </c>
      <c r="X229" s="22">
        <f t="shared" si="128"/>
        <v>0</v>
      </c>
      <c r="Y229" s="22">
        <f t="shared" si="128"/>
        <v>0</v>
      </c>
      <c r="Z229" s="22">
        <f t="shared" si="128"/>
        <v>0</v>
      </c>
      <c r="AA229" s="22">
        <f t="shared" si="128"/>
        <v>0</v>
      </c>
      <c r="AB229" s="1"/>
      <c r="AC229" s="5">
        <f t="shared" si="112"/>
        <v>54</v>
      </c>
      <c r="AD229" s="5">
        <f t="shared" si="113"/>
        <v>44</v>
      </c>
      <c r="AE229" s="5">
        <f t="shared" si="114"/>
        <v>24</v>
      </c>
      <c r="AF229" s="5">
        <f t="shared" si="115"/>
        <v>0</v>
      </c>
      <c r="AG229" s="5">
        <f t="shared" si="116"/>
        <v>0</v>
      </c>
      <c r="AH229" s="5">
        <f t="shared" si="117"/>
        <v>0</v>
      </c>
      <c r="AI229" s="5">
        <f t="shared" si="118"/>
        <v>0</v>
      </c>
      <c r="AJ229" s="5">
        <f t="shared" si="119"/>
        <v>0</v>
      </c>
      <c r="AK229" s="5">
        <f t="shared" si="120"/>
        <v>0</v>
      </c>
      <c r="AL229" s="5">
        <f t="shared" si="121"/>
        <v>0</v>
      </c>
      <c r="AM229" s="5">
        <f t="shared" si="122"/>
        <v>0</v>
      </c>
      <c r="AN229" s="5">
        <f t="shared" si="123"/>
        <v>0</v>
      </c>
      <c r="AO229" s="5">
        <f t="shared" si="124"/>
        <v>0</v>
      </c>
      <c r="AP229" s="5">
        <f t="shared" si="125"/>
        <v>0</v>
      </c>
      <c r="AQ229" s="5">
        <f t="shared" si="126"/>
        <v>0</v>
      </c>
      <c r="AR229" s="5">
        <f t="shared" si="127"/>
        <v>0</v>
      </c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M229" s="40">
        <f>IF(OR(V228=4,V228=8,V228=12,V228=16,V228=20),$CA$1,0)</f>
        <v>0</v>
      </c>
      <c r="BN229" s="40">
        <f>IF(OR(W228=4,W228=8,W228=12,W228=16,W228=20),$CA$1,0)</f>
        <v>0</v>
      </c>
      <c r="BO229" s="40">
        <f>IF(OR(X228=4,X228=8,X228=12,X228=16,X228=20),$CA$1,0)</f>
        <v>0</v>
      </c>
      <c r="BP229" s="40">
        <f>IF(OR(Y228=4,Y228=8,Y228=12,Y228=16,Y228=20),$CA$1,0)</f>
        <v>0</v>
      </c>
      <c r="BQ229" s="40">
        <f>IF(OR(Z228=4,Z228=8,Z228=12,Z228=16,Z228=20),$CA$1,0)</f>
        <v>0</v>
      </c>
      <c r="BR229" s="40">
        <f>IF(OR(AA228=4,AA228=8,AA228=12,AA228=16,AA228=20),$CA$1,0)</f>
        <v>0</v>
      </c>
      <c r="BS229" s="40">
        <f>IF(V225=20,$CB$1,0)</f>
        <v>651525.49583333335</v>
      </c>
      <c r="BT229" s="40">
        <f>IF(W225=20,$CB$1,0)</f>
        <v>0</v>
      </c>
      <c r="BU229" s="40">
        <f>IF(X225=20,$CB$1,0)</f>
        <v>0</v>
      </c>
      <c r="BV229" s="40">
        <f>IF(Y225=20,$CB$1,0)</f>
        <v>0</v>
      </c>
      <c r="BW229" s="40">
        <f>IF(Z225=20,$CB$1,0)</f>
        <v>0</v>
      </c>
      <c r="BX229" s="40">
        <f>IF(AA225=20,$CB$1,0)</f>
        <v>0</v>
      </c>
      <c r="BY229" s="41">
        <f t="shared" si="107"/>
        <v>651525.49583333335</v>
      </c>
      <c r="BZ229" s="41">
        <f t="shared" si="108"/>
        <v>813016.64166666672</v>
      </c>
      <c r="CA229" s="58">
        <f t="shared" si="98"/>
        <v>44676</v>
      </c>
      <c r="CB229" s="47">
        <f t="shared" si="109"/>
        <v>813016.64166666672</v>
      </c>
      <c r="CE229"/>
    </row>
    <row r="230" spans="2:84" ht="15" outlineLevel="1" x14ac:dyDescent="0.2">
      <c r="B230" s="18">
        <f t="shared" si="102"/>
        <v>44683</v>
      </c>
      <c r="C230" s="17" t="s">
        <v>1</v>
      </c>
      <c r="D230" s="19">
        <f t="shared" si="103"/>
        <v>44689</v>
      </c>
      <c r="E230" s="20">
        <f t="shared" si="104"/>
        <v>5</v>
      </c>
      <c r="F230" s="21">
        <f t="shared" si="105"/>
        <v>2022</v>
      </c>
      <c r="G230" s="11">
        <f t="shared" ref="G230:H245" si="129">G229</f>
        <v>22</v>
      </c>
      <c r="H230" s="10">
        <f t="shared" si="129"/>
        <v>66</v>
      </c>
      <c r="I230" s="11"/>
      <c r="J230" s="11"/>
      <c r="K230" s="11"/>
      <c r="L230" s="11"/>
      <c r="M230" s="11"/>
      <c r="N230" s="11"/>
      <c r="O230" s="14"/>
      <c r="P230" s="14"/>
      <c r="Q230" s="14"/>
      <c r="R230" s="14"/>
      <c r="S230" s="14"/>
      <c r="T230" s="14"/>
      <c r="V230" s="22">
        <f t="shared" si="128"/>
        <v>0</v>
      </c>
      <c r="W230" s="22">
        <f t="shared" si="128"/>
        <v>0</v>
      </c>
      <c r="X230" s="22">
        <f t="shared" si="128"/>
        <v>0</v>
      </c>
      <c r="Y230" s="22">
        <f t="shared" si="128"/>
        <v>0</v>
      </c>
      <c r="Z230" s="22">
        <f t="shared" si="128"/>
        <v>0</v>
      </c>
      <c r="AA230" s="22">
        <f t="shared" si="128"/>
        <v>0</v>
      </c>
      <c r="AB230" s="1"/>
      <c r="AC230" s="5">
        <f t="shared" si="112"/>
        <v>55</v>
      </c>
      <c r="AD230" s="5">
        <f t="shared" si="113"/>
        <v>45</v>
      </c>
      <c r="AE230" s="5">
        <f t="shared" si="114"/>
        <v>25</v>
      </c>
      <c r="AF230" s="5">
        <f t="shared" si="115"/>
        <v>0</v>
      </c>
      <c r="AG230" s="5">
        <f t="shared" si="116"/>
        <v>0</v>
      </c>
      <c r="AH230" s="5">
        <f t="shared" si="117"/>
        <v>0</v>
      </c>
      <c r="AI230" s="5">
        <f t="shared" si="118"/>
        <v>0</v>
      </c>
      <c r="AJ230" s="5">
        <f t="shared" si="119"/>
        <v>0</v>
      </c>
      <c r="AK230" s="5">
        <f t="shared" si="120"/>
        <v>0</v>
      </c>
      <c r="AL230" s="5">
        <f t="shared" si="121"/>
        <v>0</v>
      </c>
      <c r="AM230" s="5">
        <f t="shared" si="122"/>
        <v>0</v>
      </c>
      <c r="AN230" s="5">
        <f t="shared" si="123"/>
        <v>0</v>
      </c>
      <c r="AO230" s="5">
        <f t="shared" si="124"/>
        <v>0</v>
      </c>
      <c r="AP230" s="5">
        <f t="shared" si="125"/>
        <v>0</v>
      </c>
      <c r="AQ230" s="5">
        <f t="shared" si="126"/>
        <v>0</v>
      </c>
      <c r="AR230" s="5">
        <f t="shared" si="127"/>
        <v>0</v>
      </c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M230" s="40">
        <f>IF(OR(V229=4,V229=8,V229=12,V229=16,V229=20),$CA$1,0)</f>
        <v>0</v>
      </c>
      <c r="BN230" s="40">
        <f>IF(OR(W229=4,W229=8,W229=12,W229=16,W229=20),$CA$1,0)</f>
        <v>0</v>
      </c>
      <c r="BO230" s="40">
        <f>IF(OR(X229=4,X229=8,X229=12,X229=16,X229=20),$CA$1,0)</f>
        <v>0</v>
      </c>
      <c r="BP230" s="40">
        <f>IF(OR(Y229=4,Y229=8,Y229=12,Y229=16,Y229=20),$CA$1,0)</f>
        <v>0</v>
      </c>
      <c r="BQ230" s="40">
        <f>IF(OR(Z229=4,Z229=8,Z229=12,Z229=16,Z229=20),$CA$1,0)</f>
        <v>0</v>
      </c>
      <c r="BR230" s="40">
        <f>IF(OR(AA229=4,AA229=8,AA229=12,AA229=16,AA229=20),$CA$1,0)</f>
        <v>0</v>
      </c>
      <c r="BS230" s="40">
        <f>IF(V226=20,$CB$1,0)</f>
        <v>0</v>
      </c>
      <c r="BT230" s="40">
        <f>IF(W226=20,$CB$1,0)</f>
        <v>0</v>
      </c>
      <c r="BU230" s="40">
        <f>IF(X226=20,$CB$1,0)</f>
        <v>0</v>
      </c>
      <c r="BV230" s="40">
        <f>IF(Y226=20,$CB$1,0)</f>
        <v>0</v>
      </c>
      <c r="BW230" s="40">
        <f>IF(Z226=20,$CB$1,0)</f>
        <v>0</v>
      </c>
      <c r="BX230" s="40">
        <f>IF(AA226=20,$CB$1,0)</f>
        <v>0</v>
      </c>
      <c r="BY230" s="41">
        <f t="shared" si="107"/>
        <v>0</v>
      </c>
      <c r="BZ230" s="41">
        <f t="shared" si="108"/>
        <v>0</v>
      </c>
      <c r="CA230" s="58">
        <f t="shared" si="98"/>
        <v>44683</v>
      </c>
      <c r="CB230" s="47">
        <f t="shared" si="109"/>
        <v>0</v>
      </c>
      <c r="CE230"/>
    </row>
    <row r="231" spans="2:84" ht="15" outlineLevel="1" x14ac:dyDescent="0.2">
      <c r="B231" s="18">
        <f t="shared" si="102"/>
        <v>44690</v>
      </c>
      <c r="C231" s="17" t="s">
        <v>1</v>
      </c>
      <c r="D231" s="19">
        <f t="shared" si="103"/>
        <v>44696</v>
      </c>
      <c r="E231" s="20">
        <f t="shared" si="104"/>
        <v>5</v>
      </c>
      <c r="F231" s="21">
        <f t="shared" si="105"/>
        <v>2022</v>
      </c>
      <c r="G231" s="11">
        <f t="shared" si="129"/>
        <v>22</v>
      </c>
      <c r="H231" s="10">
        <f t="shared" si="129"/>
        <v>66</v>
      </c>
      <c r="I231" s="11"/>
      <c r="J231" s="11"/>
      <c r="K231" s="11"/>
      <c r="L231" s="11"/>
      <c r="M231" s="11"/>
      <c r="N231" s="11"/>
      <c r="O231" s="14"/>
      <c r="P231" s="14"/>
      <c r="Q231" s="14"/>
      <c r="R231" s="14"/>
      <c r="S231" s="14"/>
      <c r="T231" s="14"/>
      <c r="V231" s="22">
        <f t="shared" si="128"/>
        <v>0</v>
      </c>
      <c r="W231" s="22">
        <f t="shared" si="128"/>
        <v>0</v>
      </c>
      <c r="X231" s="22">
        <f t="shared" si="128"/>
        <v>0</v>
      </c>
      <c r="Y231" s="22">
        <f t="shared" si="128"/>
        <v>0</v>
      </c>
      <c r="Z231" s="22">
        <f t="shared" si="128"/>
        <v>0</v>
      </c>
      <c r="AA231" s="22">
        <f t="shared" si="128"/>
        <v>0</v>
      </c>
      <c r="AB231" s="1"/>
      <c r="AC231" s="5">
        <f t="shared" si="112"/>
        <v>56</v>
      </c>
      <c r="AD231" s="5">
        <f t="shared" si="113"/>
        <v>46</v>
      </c>
      <c r="AE231" s="5">
        <f t="shared" si="114"/>
        <v>26</v>
      </c>
      <c r="AF231" s="5">
        <f t="shared" si="115"/>
        <v>0</v>
      </c>
      <c r="AG231" s="5">
        <f t="shared" si="116"/>
        <v>0</v>
      </c>
      <c r="AH231" s="5">
        <f t="shared" si="117"/>
        <v>0</v>
      </c>
      <c r="AI231" s="5">
        <f t="shared" si="118"/>
        <v>0</v>
      </c>
      <c r="AJ231" s="5">
        <f t="shared" si="119"/>
        <v>0</v>
      </c>
      <c r="AK231" s="5">
        <f t="shared" si="120"/>
        <v>0</v>
      </c>
      <c r="AL231" s="5">
        <f t="shared" si="121"/>
        <v>0</v>
      </c>
      <c r="AM231" s="5">
        <f t="shared" si="122"/>
        <v>0</v>
      </c>
      <c r="AN231" s="5">
        <f t="shared" si="123"/>
        <v>0</v>
      </c>
      <c r="AO231" s="5">
        <f t="shared" si="124"/>
        <v>0</v>
      </c>
      <c r="AP231" s="5">
        <f t="shared" si="125"/>
        <v>0</v>
      </c>
      <c r="AQ231" s="5">
        <f t="shared" si="126"/>
        <v>0</v>
      </c>
      <c r="AR231" s="5">
        <f t="shared" si="127"/>
        <v>0</v>
      </c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M231" s="40">
        <f>IF(OR(V230=4,V230=8,V230=12,V230=16,V230=20),$CA$1,0)</f>
        <v>0</v>
      </c>
      <c r="BN231" s="40">
        <f>IF(OR(W230=4,W230=8,W230=12,W230=16,W230=20),$CA$1,0)</f>
        <v>0</v>
      </c>
      <c r="BO231" s="40">
        <f>IF(OR(X230=4,X230=8,X230=12,X230=16,X230=20),$CA$1,0)</f>
        <v>0</v>
      </c>
      <c r="BP231" s="40">
        <f>IF(OR(Y230=4,Y230=8,Y230=12,Y230=16,Y230=20),$CA$1,0)</f>
        <v>0</v>
      </c>
      <c r="BQ231" s="40">
        <f>IF(OR(Z230=4,Z230=8,Z230=12,Z230=16,Z230=20),$CA$1,0)</f>
        <v>0</v>
      </c>
      <c r="BR231" s="40">
        <f>IF(OR(AA230=4,AA230=8,AA230=12,AA230=16,AA230=20),$CA$1,0)</f>
        <v>0</v>
      </c>
      <c r="BS231" s="40">
        <f>IF(V227=20,$CB$1,0)</f>
        <v>0</v>
      </c>
      <c r="BT231" s="40">
        <f>IF(W227=20,$CB$1,0)</f>
        <v>0</v>
      </c>
      <c r="BU231" s="40">
        <f>IF(X227=20,$CB$1,0)</f>
        <v>0</v>
      </c>
      <c r="BV231" s="40">
        <f>IF(Y227=20,$CB$1,0)</f>
        <v>0</v>
      </c>
      <c r="BW231" s="40">
        <f>IF(Z227=20,$CB$1,0)</f>
        <v>0</v>
      </c>
      <c r="BX231" s="40">
        <f>IF(AA227=20,$CB$1,0)</f>
        <v>0</v>
      </c>
      <c r="BY231" s="41">
        <f t="shared" si="107"/>
        <v>0</v>
      </c>
      <c r="BZ231" s="41">
        <f t="shared" si="108"/>
        <v>0</v>
      </c>
      <c r="CA231" s="58">
        <f t="shared" si="98"/>
        <v>44690</v>
      </c>
      <c r="CB231" s="47">
        <f t="shared" si="109"/>
        <v>0</v>
      </c>
      <c r="CE231"/>
    </row>
    <row r="232" spans="2:84" ht="15" outlineLevel="1" x14ac:dyDescent="0.2">
      <c r="B232" s="18">
        <f t="shared" si="102"/>
        <v>44697</v>
      </c>
      <c r="C232" s="17" t="s">
        <v>1</v>
      </c>
      <c r="D232" s="19">
        <f t="shared" si="103"/>
        <v>44703</v>
      </c>
      <c r="E232" s="20">
        <f t="shared" si="104"/>
        <v>5</v>
      </c>
      <c r="F232" s="21">
        <f t="shared" si="105"/>
        <v>2022</v>
      </c>
      <c r="G232" s="11">
        <f t="shared" si="129"/>
        <v>22</v>
      </c>
      <c r="H232" s="10">
        <f t="shared" si="129"/>
        <v>66</v>
      </c>
      <c r="I232" s="11"/>
      <c r="J232" s="11"/>
      <c r="K232" s="11"/>
      <c r="L232" s="11"/>
      <c r="M232" s="11"/>
      <c r="N232" s="11"/>
      <c r="O232" s="14">
        <v>1</v>
      </c>
      <c r="P232" s="14"/>
      <c r="Q232" s="14"/>
      <c r="R232" s="14"/>
      <c r="S232" s="14"/>
      <c r="T232" s="14"/>
      <c r="V232" s="22">
        <f t="shared" si="128"/>
        <v>44699</v>
      </c>
      <c r="W232" s="22">
        <f t="shared" si="128"/>
        <v>0</v>
      </c>
      <c r="X232" s="22">
        <f t="shared" si="128"/>
        <v>0</v>
      </c>
      <c r="Y232" s="22">
        <f t="shared" si="128"/>
        <v>0</v>
      </c>
      <c r="Z232" s="22">
        <f t="shared" si="128"/>
        <v>0</v>
      </c>
      <c r="AA232" s="22">
        <f t="shared" si="128"/>
        <v>0</v>
      </c>
      <c r="AB232" s="1"/>
      <c r="AC232" s="5">
        <f t="shared" si="112"/>
        <v>57</v>
      </c>
      <c r="AD232" s="5">
        <f t="shared" si="113"/>
        <v>47</v>
      </c>
      <c r="AE232" s="5">
        <f t="shared" si="114"/>
        <v>27</v>
      </c>
      <c r="AF232" s="5">
        <f t="shared" si="115"/>
        <v>0</v>
      </c>
      <c r="AG232" s="5">
        <f t="shared" si="116"/>
        <v>0</v>
      </c>
      <c r="AH232" s="5">
        <f t="shared" si="117"/>
        <v>0</v>
      </c>
      <c r="AI232" s="5">
        <f t="shared" si="118"/>
        <v>0</v>
      </c>
      <c r="AJ232" s="5">
        <f t="shared" si="119"/>
        <v>0</v>
      </c>
      <c r="AK232" s="5">
        <f t="shared" si="120"/>
        <v>0</v>
      </c>
      <c r="AL232" s="5">
        <f t="shared" si="121"/>
        <v>0</v>
      </c>
      <c r="AM232" s="5">
        <f t="shared" si="122"/>
        <v>0</v>
      </c>
      <c r="AN232" s="5">
        <f t="shared" si="123"/>
        <v>0</v>
      </c>
      <c r="AO232" s="5">
        <f t="shared" si="124"/>
        <v>0</v>
      </c>
      <c r="AP232" s="5">
        <f t="shared" si="125"/>
        <v>0</v>
      </c>
      <c r="AQ232" s="5">
        <f t="shared" si="126"/>
        <v>0</v>
      </c>
      <c r="AR232" s="5">
        <f t="shared" si="127"/>
        <v>0</v>
      </c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M232" s="40">
        <f>IF(OR(V231=4,V231=8,V231=12,V231=16,V231=20),$CA$1,0)</f>
        <v>0</v>
      </c>
      <c r="BN232" s="40">
        <f>IF(OR(W231=4,W231=8,W231=12,W231=16,W231=20),$CA$1,0)</f>
        <v>0</v>
      </c>
      <c r="BO232" s="40">
        <f>IF(OR(X231=4,X231=8,X231=12,X231=16,X231=20),$CA$1,0)</f>
        <v>0</v>
      </c>
      <c r="BP232" s="40">
        <f>IF(OR(Y231=4,Y231=8,Y231=12,Y231=16,Y231=20),$CA$1,0)</f>
        <v>0</v>
      </c>
      <c r="BQ232" s="40">
        <f>IF(OR(Z231=4,Z231=8,Z231=12,Z231=16,Z231=20),$CA$1,0)</f>
        <v>0</v>
      </c>
      <c r="BR232" s="40">
        <f>IF(OR(AA231=4,AA231=8,AA231=12,AA231=16,AA231=20),$CA$1,0)</f>
        <v>0</v>
      </c>
      <c r="BS232" s="40">
        <f>IF(V228=20,$CB$1,0)</f>
        <v>0</v>
      </c>
      <c r="BT232" s="40">
        <f>IF(W228=20,$CB$1,0)</f>
        <v>0</v>
      </c>
      <c r="BU232" s="40">
        <f>IF(X228=20,$CB$1,0)</f>
        <v>0</v>
      </c>
      <c r="BV232" s="40">
        <f>IF(Y228=20,$CB$1,0)</f>
        <v>0</v>
      </c>
      <c r="BW232" s="40">
        <f>IF(Z228=20,$CB$1,0)</f>
        <v>0</v>
      </c>
      <c r="BX232" s="40">
        <f>IF(AA228=20,$CB$1,0)</f>
        <v>0</v>
      </c>
      <c r="BY232" s="41">
        <f t="shared" si="107"/>
        <v>0</v>
      </c>
      <c r="BZ232" s="41">
        <f t="shared" si="108"/>
        <v>0</v>
      </c>
      <c r="CA232" s="58">
        <f t="shared" si="98"/>
        <v>44697</v>
      </c>
      <c r="CB232" s="47">
        <f t="shared" si="109"/>
        <v>0</v>
      </c>
    </row>
    <row r="233" spans="2:84" ht="15" outlineLevel="1" x14ac:dyDescent="0.2">
      <c r="B233" s="18">
        <f t="shared" si="102"/>
        <v>44704</v>
      </c>
      <c r="C233" s="17" t="s">
        <v>1</v>
      </c>
      <c r="D233" s="19">
        <f t="shared" si="103"/>
        <v>44710</v>
      </c>
      <c r="E233" s="20">
        <f t="shared" si="104"/>
        <v>5</v>
      </c>
      <c r="F233" s="21">
        <f t="shared" si="105"/>
        <v>2022</v>
      </c>
      <c r="G233" s="11">
        <f t="shared" si="129"/>
        <v>22</v>
      </c>
      <c r="H233" s="10">
        <f t="shared" si="129"/>
        <v>66</v>
      </c>
      <c r="I233" s="11"/>
      <c r="J233" s="11"/>
      <c r="K233" s="11"/>
      <c r="L233" s="11"/>
      <c r="M233" s="11"/>
      <c r="N233" s="11"/>
      <c r="O233" s="14"/>
      <c r="P233" s="14"/>
      <c r="Q233" s="14"/>
      <c r="R233" s="14"/>
      <c r="S233" s="14"/>
      <c r="T233" s="14"/>
      <c r="V233" s="22">
        <f t="shared" si="128"/>
        <v>1</v>
      </c>
      <c r="W233" s="22">
        <f t="shared" si="128"/>
        <v>0</v>
      </c>
      <c r="X233" s="22">
        <f t="shared" si="128"/>
        <v>0</v>
      </c>
      <c r="Y233" s="22">
        <f t="shared" si="128"/>
        <v>0</v>
      </c>
      <c r="Z233" s="22">
        <f t="shared" si="128"/>
        <v>0</v>
      </c>
      <c r="AA233" s="22">
        <f t="shared" si="128"/>
        <v>0</v>
      </c>
      <c r="AB233" s="1"/>
      <c r="AC233" s="5">
        <f t="shared" si="112"/>
        <v>58</v>
      </c>
      <c r="AD233" s="5">
        <f t="shared" si="113"/>
        <v>48</v>
      </c>
      <c r="AE233" s="5">
        <f t="shared" si="114"/>
        <v>28</v>
      </c>
      <c r="AF233" s="5">
        <f t="shared" si="115"/>
        <v>0</v>
      </c>
      <c r="AG233" s="5">
        <f t="shared" si="116"/>
        <v>0</v>
      </c>
      <c r="AH233" s="5">
        <f t="shared" si="117"/>
        <v>0</v>
      </c>
      <c r="AI233" s="5">
        <f t="shared" si="118"/>
        <v>0</v>
      </c>
      <c r="AJ233" s="5">
        <f t="shared" si="119"/>
        <v>0</v>
      </c>
      <c r="AK233" s="5">
        <f t="shared" si="120"/>
        <v>0</v>
      </c>
      <c r="AL233" s="5">
        <f t="shared" si="121"/>
        <v>0</v>
      </c>
      <c r="AM233" s="5">
        <f t="shared" si="122"/>
        <v>0</v>
      </c>
      <c r="AN233" s="5">
        <f t="shared" si="123"/>
        <v>0</v>
      </c>
      <c r="AO233" s="5">
        <f t="shared" si="124"/>
        <v>0</v>
      </c>
      <c r="AP233" s="5">
        <f t="shared" si="125"/>
        <v>0</v>
      </c>
      <c r="AQ233" s="5">
        <f t="shared" si="126"/>
        <v>0</v>
      </c>
      <c r="AR233" s="5">
        <f t="shared" si="127"/>
        <v>0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M233" s="40">
        <f>IF(OR(V232=4,V232=8,V232=12,V232=16,V232=20),$CA$1,0)</f>
        <v>0</v>
      </c>
      <c r="BN233" s="40">
        <f>IF(OR(W232=4,W232=8,W232=12,W232=16,W232=20),$CA$1,0)</f>
        <v>0</v>
      </c>
      <c r="BO233" s="40">
        <f>IF(OR(X232=4,X232=8,X232=12,X232=16,X232=20),$CA$1,0)</f>
        <v>0</v>
      </c>
      <c r="BP233" s="40">
        <f>IF(OR(Y232=4,Y232=8,Y232=12,Y232=16,Y232=20),$CA$1,0)</f>
        <v>0</v>
      </c>
      <c r="BQ233" s="40">
        <f>IF(OR(Z232=4,Z232=8,Z232=12,Z232=16,Z232=20),$CA$1,0)</f>
        <v>0</v>
      </c>
      <c r="BR233" s="40">
        <f>IF(OR(AA232=4,AA232=8,AA232=12,AA232=16,AA232=20),$CA$1,0)</f>
        <v>0</v>
      </c>
      <c r="BS233" s="40">
        <f>IF(V229=20,$CB$1,0)</f>
        <v>0</v>
      </c>
      <c r="BT233" s="40">
        <f>IF(W229=20,$CB$1,0)</f>
        <v>0</v>
      </c>
      <c r="BU233" s="40">
        <f>IF(X229=20,$CB$1,0)</f>
        <v>0</v>
      </c>
      <c r="BV233" s="40">
        <f>IF(Y229=20,$CB$1,0)</f>
        <v>0</v>
      </c>
      <c r="BW233" s="40">
        <f>IF(Z229=20,$CB$1,0)</f>
        <v>0</v>
      </c>
      <c r="BX233" s="40">
        <f>IF(AA229=20,$CB$1,0)</f>
        <v>0</v>
      </c>
      <c r="BY233" s="41">
        <f t="shared" si="107"/>
        <v>0</v>
      </c>
      <c r="BZ233" s="41">
        <f t="shared" si="108"/>
        <v>0</v>
      </c>
      <c r="CA233" s="58">
        <f t="shared" si="98"/>
        <v>44704</v>
      </c>
      <c r="CB233" s="47">
        <f t="shared" si="109"/>
        <v>0</v>
      </c>
    </row>
    <row r="234" spans="2:84" ht="15" outlineLevel="1" x14ac:dyDescent="0.2">
      <c r="B234" s="18">
        <f t="shared" si="102"/>
        <v>44711</v>
      </c>
      <c r="C234" s="17" t="s">
        <v>1</v>
      </c>
      <c r="D234" s="19">
        <f t="shared" si="103"/>
        <v>44717</v>
      </c>
      <c r="E234" s="20">
        <f t="shared" si="104"/>
        <v>5</v>
      </c>
      <c r="F234" s="21">
        <f t="shared" si="105"/>
        <v>2022</v>
      </c>
      <c r="G234" s="11">
        <f t="shared" si="129"/>
        <v>22</v>
      </c>
      <c r="H234" s="10">
        <f t="shared" si="129"/>
        <v>66</v>
      </c>
      <c r="I234" s="11"/>
      <c r="J234" s="11"/>
      <c r="K234" s="11"/>
      <c r="L234" s="11"/>
      <c r="M234" s="11"/>
      <c r="N234" s="11"/>
      <c r="O234" s="14"/>
      <c r="P234" s="14"/>
      <c r="Q234" s="14"/>
      <c r="R234" s="14"/>
      <c r="S234" s="14"/>
      <c r="T234" s="14"/>
      <c r="V234" s="22">
        <f t="shared" si="128"/>
        <v>2</v>
      </c>
      <c r="W234" s="22">
        <f t="shared" si="128"/>
        <v>0</v>
      </c>
      <c r="X234" s="22">
        <f t="shared" si="128"/>
        <v>0</v>
      </c>
      <c r="Y234" s="22">
        <f t="shared" si="128"/>
        <v>0</v>
      </c>
      <c r="Z234" s="22">
        <f t="shared" si="128"/>
        <v>0</v>
      </c>
      <c r="AA234" s="22">
        <f t="shared" si="128"/>
        <v>0</v>
      </c>
      <c r="AB234" s="1"/>
      <c r="AC234" s="5">
        <f t="shared" si="112"/>
        <v>59</v>
      </c>
      <c r="AD234" s="5">
        <f t="shared" si="113"/>
        <v>49</v>
      </c>
      <c r="AE234" s="5">
        <f t="shared" si="114"/>
        <v>29</v>
      </c>
      <c r="AF234" s="5">
        <f t="shared" si="115"/>
        <v>0</v>
      </c>
      <c r="AG234" s="5">
        <f t="shared" si="116"/>
        <v>0</v>
      </c>
      <c r="AH234" s="5">
        <f t="shared" si="117"/>
        <v>0</v>
      </c>
      <c r="AI234" s="5">
        <f t="shared" si="118"/>
        <v>0</v>
      </c>
      <c r="AJ234" s="5">
        <f t="shared" si="119"/>
        <v>0</v>
      </c>
      <c r="AK234" s="5">
        <f t="shared" si="120"/>
        <v>0</v>
      </c>
      <c r="AL234" s="5">
        <f t="shared" si="121"/>
        <v>0</v>
      </c>
      <c r="AM234" s="5">
        <f t="shared" si="122"/>
        <v>0</v>
      </c>
      <c r="AN234" s="5">
        <f t="shared" si="123"/>
        <v>0</v>
      </c>
      <c r="AO234" s="5">
        <f t="shared" si="124"/>
        <v>0</v>
      </c>
      <c r="AP234" s="5">
        <f t="shared" si="125"/>
        <v>0</v>
      </c>
      <c r="AQ234" s="5">
        <f t="shared" si="126"/>
        <v>0</v>
      </c>
      <c r="AR234" s="5">
        <f t="shared" si="127"/>
        <v>0</v>
      </c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M234" s="40">
        <f>IF(OR(V233=4,V233=8,V233=12,V233=16,V233=20),$CA$1,0)</f>
        <v>0</v>
      </c>
      <c r="BN234" s="40">
        <f>IF(OR(W233=4,W233=8,W233=12,W233=16,W233=20),$CA$1,0)</f>
        <v>0</v>
      </c>
      <c r="BO234" s="40">
        <f>IF(OR(X233=4,X233=8,X233=12,X233=16,X233=20),$CA$1,0)</f>
        <v>0</v>
      </c>
      <c r="BP234" s="40">
        <f>IF(OR(Y233=4,Y233=8,Y233=12,Y233=16,Y233=20),$CA$1,0)</f>
        <v>0</v>
      </c>
      <c r="BQ234" s="40">
        <f>IF(OR(Z233=4,Z233=8,Z233=12,Z233=16,Z233=20),$CA$1,0)</f>
        <v>0</v>
      </c>
      <c r="BR234" s="40">
        <f>IF(OR(AA233=4,AA233=8,AA233=12,AA233=16,AA233=20),$CA$1,0)</f>
        <v>0</v>
      </c>
      <c r="BS234" s="40">
        <f>IF(V230=20,$CB$1,0)</f>
        <v>0</v>
      </c>
      <c r="BT234" s="40">
        <f>IF(W230=20,$CB$1,0)</f>
        <v>0</v>
      </c>
      <c r="BU234" s="40">
        <f>IF(X230=20,$CB$1,0)</f>
        <v>0</v>
      </c>
      <c r="BV234" s="40">
        <f>IF(Y230=20,$CB$1,0)</f>
        <v>0</v>
      </c>
      <c r="BW234" s="40">
        <f>IF(Z230=20,$CB$1,0)</f>
        <v>0</v>
      </c>
      <c r="BX234" s="40">
        <f>IF(AA230=20,$CB$1,0)</f>
        <v>0</v>
      </c>
      <c r="BY234" s="41">
        <f t="shared" si="107"/>
        <v>0</v>
      </c>
      <c r="BZ234" s="41">
        <f t="shared" si="108"/>
        <v>0</v>
      </c>
      <c r="CA234" s="58">
        <f t="shared" si="98"/>
        <v>44711</v>
      </c>
      <c r="CB234" s="47">
        <f t="shared" si="109"/>
        <v>0</v>
      </c>
    </row>
    <row r="235" spans="2:84" ht="15" outlineLevel="1" x14ac:dyDescent="0.2">
      <c r="B235" s="18">
        <f t="shared" si="102"/>
        <v>44718</v>
      </c>
      <c r="C235" s="17" t="s">
        <v>1</v>
      </c>
      <c r="D235" s="19">
        <f t="shared" si="103"/>
        <v>44724</v>
      </c>
      <c r="E235" s="20">
        <f t="shared" si="104"/>
        <v>6</v>
      </c>
      <c r="F235" s="21">
        <f t="shared" si="105"/>
        <v>2022</v>
      </c>
      <c r="G235" s="11">
        <f t="shared" si="129"/>
        <v>22</v>
      </c>
      <c r="H235" s="10">
        <f t="shared" si="129"/>
        <v>66</v>
      </c>
      <c r="I235" s="11"/>
      <c r="J235" s="11"/>
      <c r="K235" s="11"/>
      <c r="L235" s="11"/>
      <c r="M235" s="11"/>
      <c r="N235" s="11"/>
      <c r="O235" s="14"/>
      <c r="P235" s="14"/>
      <c r="Q235" s="14"/>
      <c r="R235" s="14"/>
      <c r="S235" s="14"/>
      <c r="T235" s="14"/>
      <c r="V235" s="22">
        <f t="shared" si="128"/>
        <v>3</v>
      </c>
      <c r="W235" s="22">
        <f t="shared" si="128"/>
        <v>0</v>
      </c>
      <c r="X235" s="22">
        <f t="shared" si="128"/>
        <v>0</v>
      </c>
      <c r="Y235" s="22">
        <f t="shared" si="128"/>
        <v>0</v>
      </c>
      <c r="Z235" s="22">
        <f t="shared" si="128"/>
        <v>0</v>
      </c>
      <c r="AA235" s="22">
        <f t="shared" si="128"/>
        <v>0</v>
      </c>
      <c r="AB235" s="1"/>
      <c r="AC235" s="5">
        <f t="shared" si="112"/>
        <v>60</v>
      </c>
      <c r="AD235" s="5">
        <f t="shared" si="113"/>
        <v>50</v>
      </c>
      <c r="AE235" s="5">
        <f t="shared" si="114"/>
        <v>30</v>
      </c>
      <c r="AF235" s="5">
        <f t="shared" si="115"/>
        <v>0</v>
      </c>
      <c r="AG235" s="5">
        <f t="shared" si="116"/>
        <v>0</v>
      </c>
      <c r="AH235" s="5">
        <f t="shared" si="117"/>
        <v>0</v>
      </c>
      <c r="AI235" s="5">
        <f t="shared" si="118"/>
        <v>0</v>
      </c>
      <c r="AJ235" s="5">
        <f t="shared" si="119"/>
        <v>0</v>
      </c>
      <c r="AK235" s="5">
        <f t="shared" si="120"/>
        <v>0</v>
      </c>
      <c r="AL235" s="5">
        <f t="shared" si="121"/>
        <v>0</v>
      </c>
      <c r="AM235" s="5">
        <f t="shared" si="122"/>
        <v>0</v>
      </c>
      <c r="AN235" s="5">
        <f t="shared" si="123"/>
        <v>0</v>
      </c>
      <c r="AO235" s="5">
        <f t="shared" si="124"/>
        <v>0</v>
      </c>
      <c r="AP235" s="5">
        <f t="shared" si="125"/>
        <v>0</v>
      </c>
      <c r="AQ235" s="5">
        <f t="shared" si="126"/>
        <v>0</v>
      </c>
      <c r="AR235" s="5">
        <f t="shared" si="127"/>
        <v>0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M235" s="40">
        <f>IF(OR(V234=4,V234=8,V234=12,V234=16,V234=20),$CA$1,0)</f>
        <v>0</v>
      </c>
      <c r="BN235" s="40">
        <f>IF(OR(W234=4,W234=8,W234=12,W234=16,W234=20),$CA$1,0)</f>
        <v>0</v>
      </c>
      <c r="BO235" s="40">
        <f>IF(OR(X234=4,X234=8,X234=12,X234=16,X234=20),$CA$1,0)</f>
        <v>0</v>
      </c>
      <c r="BP235" s="40">
        <f>IF(OR(Y234=4,Y234=8,Y234=12,Y234=16,Y234=20),$CA$1,0)</f>
        <v>0</v>
      </c>
      <c r="BQ235" s="40">
        <f>IF(OR(Z234=4,Z234=8,Z234=12,Z234=16,Z234=20),$CA$1,0)</f>
        <v>0</v>
      </c>
      <c r="BR235" s="40">
        <f>IF(OR(AA234=4,AA234=8,AA234=12,AA234=16,AA234=20),$CA$1,0)</f>
        <v>0</v>
      </c>
      <c r="BS235" s="40">
        <f>IF(V231=20,$CB$1,0)</f>
        <v>0</v>
      </c>
      <c r="BT235" s="40">
        <f>IF(W231=20,$CB$1,0)</f>
        <v>0</v>
      </c>
      <c r="BU235" s="40">
        <f>IF(X231=20,$CB$1,0)</f>
        <v>0</v>
      </c>
      <c r="BV235" s="40">
        <f>IF(Y231=20,$CB$1,0)</f>
        <v>0</v>
      </c>
      <c r="BW235" s="40">
        <f>IF(Z231=20,$CB$1,0)</f>
        <v>0</v>
      </c>
      <c r="BX235" s="40">
        <f>IF(AA231=20,$CB$1,0)</f>
        <v>0</v>
      </c>
      <c r="BY235" s="41">
        <f t="shared" si="107"/>
        <v>0</v>
      </c>
      <c r="BZ235" s="41">
        <f t="shared" si="108"/>
        <v>0</v>
      </c>
      <c r="CA235" s="58">
        <f t="shared" si="98"/>
        <v>44718</v>
      </c>
      <c r="CB235" s="47">
        <f t="shared" si="109"/>
        <v>0</v>
      </c>
    </row>
    <row r="236" spans="2:84" ht="15" outlineLevel="1" x14ac:dyDescent="0.2">
      <c r="B236" s="18">
        <f t="shared" si="102"/>
        <v>44725</v>
      </c>
      <c r="C236" s="17" t="s">
        <v>1</v>
      </c>
      <c r="D236" s="19">
        <f t="shared" si="103"/>
        <v>44731</v>
      </c>
      <c r="E236" s="20">
        <f t="shared" si="104"/>
        <v>6</v>
      </c>
      <c r="F236" s="21">
        <f t="shared" si="105"/>
        <v>2022</v>
      </c>
      <c r="G236" s="11">
        <f t="shared" si="129"/>
        <v>22</v>
      </c>
      <c r="H236" s="10">
        <f t="shared" si="129"/>
        <v>66</v>
      </c>
      <c r="I236" s="11"/>
      <c r="J236" s="11"/>
      <c r="K236" s="11"/>
      <c r="L236" s="11"/>
      <c r="M236" s="11"/>
      <c r="N236" s="11"/>
      <c r="O236" s="14"/>
      <c r="P236" s="14"/>
      <c r="Q236" s="14"/>
      <c r="R236" s="14"/>
      <c r="S236" s="14"/>
      <c r="T236" s="14"/>
      <c r="V236" s="22">
        <f t="shared" si="128"/>
        <v>4</v>
      </c>
      <c r="W236" s="22">
        <f t="shared" si="128"/>
        <v>0</v>
      </c>
      <c r="X236" s="22">
        <f t="shared" si="128"/>
        <v>0</v>
      </c>
      <c r="Y236" s="22">
        <f t="shared" si="128"/>
        <v>0</v>
      </c>
      <c r="Z236" s="22">
        <f t="shared" si="128"/>
        <v>0</v>
      </c>
      <c r="AA236" s="22">
        <f t="shared" si="128"/>
        <v>0</v>
      </c>
      <c r="AB236" s="1"/>
      <c r="AC236" s="5">
        <f t="shared" si="112"/>
        <v>61</v>
      </c>
      <c r="AD236" s="5">
        <f t="shared" si="113"/>
        <v>51</v>
      </c>
      <c r="AE236" s="5">
        <f t="shared" si="114"/>
        <v>31</v>
      </c>
      <c r="AF236" s="5">
        <f t="shared" si="115"/>
        <v>0</v>
      </c>
      <c r="AG236" s="5">
        <f t="shared" si="116"/>
        <v>0</v>
      </c>
      <c r="AH236" s="5">
        <f t="shared" si="117"/>
        <v>0</v>
      </c>
      <c r="AI236" s="5">
        <f t="shared" si="118"/>
        <v>0</v>
      </c>
      <c r="AJ236" s="5">
        <f t="shared" si="119"/>
        <v>0</v>
      </c>
      <c r="AK236" s="5">
        <f t="shared" si="120"/>
        <v>0</v>
      </c>
      <c r="AL236" s="5">
        <f t="shared" si="121"/>
        <v>0</v>
      </c>
      <c r="AM236" s="5">
        <f t="shared" si="122"/>
        <v>0</v>
      </c>
      <c r="AN236" s="5">
        <f t="shared" si="123"/>
        <v>0</v>
      </c>
      <c r="AO236" s="5">
        <f t="shared" si="124"/>
        <v>0</v>
      </c>
      <c r="AP236" s="5">
        <f t="shared" si="125"/>
        <v>0</v>
      </c>
      <c r="AQ236" s="5">
        <f t="shared" si="126"/>
        <v>0</v>
      </c>
      <c r="AR236" s="5">
        <f t="shared" si="127"/>
        <v>0</v>
      </c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M236" s="40">
        <f>IF(OR(V235=4,V235=8,V235=12,V235=16,V235=20),$CA$1,0)</f>
        <v>0</v>
      </c>
      <c r="BN236" s="40">
        <f>IF(OR(W235=4,W235=8,W235=12,W235=16,W235=20),$CA$1,0)</f>
        <v>0</v>
      </c>
      <c r="BO236" s="40">
        <f>IF(OR(X235=4,X235=8,X235=12,X235=16,X235=20),$CA$1,0)</f>
        <v>0</v>
      </c>
      <c r="BP236" s="40">
        <f>IF(OR(Y235=4,Y235=8,Y235=12,Y235=16,Y235=20),$CA$1,0)</f>
        <v>0</v>
      </c>
      <c r="BQ236" s="40">
        <f>IF(OR(Z235=4,Z235=8,Z235=12,Z235=16,Z235=20),$CA$1,0)</f>
        <v>0</v>
      </c>
      <c r="BR236" s="40">
        <f>IF(OR(AA235=4,AA235=8,AA235=12,AA235=16,AA235=20),$CA$1,0)</f>
        <v>0</v>
      </c>
      <c r="BS236" s="40">
        <f>IF(V232=20,$CB$1,0)</f>
        <v>0</v>
      </c>
      <c r="BT236" s="40">
        <f>IF(W232=20,$CB$1,0)</f>
        <v>0</v>
      </c>
      <c r="BU236" s="40">
        <f>IF(X232=20,$CB$1,0)</f>
        <v>0</v>
      </c>
      <c r="BV236" s="40">
        <f>IF(Y232=20,$CB$1,0)</f>
        <v>0</v>
      </c>
      <c r="BW236" s="40">
        <f>IF(Z232=20,$CB$1,0)</f>
        <v>0</v>
      </c>
      <c r="BX236" s="40">
        <f>IF(AA232=20,$CB$1,0)</f>
        <v>0</v>
      </c>
      <c r="BY236" s="41">
        <f t="shared" si="107"/>
        <v>0</v>
      </c>
      <c r="BZ236" s="41">
        <f t="shared" si="108"/>
        <v>0</v>
      </c>
      <c r="CA236" s="58">
        <f t="shared" si="98"/>
        <v>44725</v>
      </c>
      <c r="CB236" s="47">
        <f t="shared" si="109"/>
        <v>0</v>
      </c>
    </row>
    <row r="237" spans="2:84" ht="15" outlineLevel="1" x14ac:dyDescent="0.2">
      <c r="B237" s="18">
        <f t="shared" si="102"/>
        <v>44732</v>
      </c>
      <c r="C237" s="17" t="s">
        <v>1</v>
      </c>
      <c r="D237" s="19">
        <f t="shared" si="103"/>
        <v>44738</v>
      </c>
      <c r="E237" s="20">
        <f t="shared" si="104"/>
        <v>6</v>
      </c>
      <c r="F237" s="21">
        <f t="shared" si="105"/>
        <v>2022</v>
      </c>
      <c r="G237" s="11">
        <f t="shared" si="129"/>
        <v>22</v>
      </c>
      <c r="H237" s="10">
        <f t="shared" si="129"/>
        <v>66</v>
      </c>
      <c r="I237" s="11"/>
      <c r="J237" s="11"/>
      <c r="K237" s="11"/>
      <c r="L237" s="11"/>
      <c r="M237" s="11"/>
      <c r="N237" s="11"/>
      <c r="O237" s="14"/>
      <c r="P237" s="14"/>
      <c r="Q237" s="14"/>
      <c r="R237" s="14"/>
      <c r="S237" s="14"/>
      <c r="T237" s="14"/>
      <c r="V237" s="22">
        <f t="shared" si="128"/>
        <v>5</v>
      </c>
      <c r="W237" s="22">
        <f t="shared" si="128"/>
        <v>0</v>
      </c>
      <c r="X237" s="22">
        <f t="shared" si="128"/>
        <v>0</v>
      </c>
      <c r="Y237" s="22">
        <f t="shared" si="128"/>
        <v>0</v>
      </c>
      <c r="Z237" s="22">
        <f t="shared" si="128"/>
        <v>0</v>
      </c>
      <c r="AA237" s="22">
        <f t="shared" si="128"/>
        <v>0</v>
      </c>
      <c r="AB237" s="1"/>
      <c r="AC237" s="5">
        <f t="shared" si="112"/>
        <v>62</v>
      </c>
      <c r="AD237" s="5">
        <f t="shared" si="113"/>
        <v>52</v>
      </c>
      <c r="AE237" s="5">
        <f t="shared" si="114"/>
        <v>32</v>
      </c>
      <c r="AF237" s="5">
        <f t="shared" si="115"/>
        <v>0</v>
      </c>
      <c r="AG237" s="5">
        <f t="shared" si="116"/>
        <v>0</v>
      </c>
      <c r="AH237" s="5">
        <f t="shared" si="117"/>
        <v>0</v>
      </c>
      <c r="AI237" s="5">
        <f t="shared" si="118"/>
        <v>0</v>
      </c>
      <c r="AJ237" s="5">
        <f t="shared" si="119"/>
        <v>0</v>
      </c>
      <c r="AK237" s="5">
        <f t="shared" si="120"/>
        <v>0</v>
      </c>
      <c r="AL237" s="5">
        <f t="shared" si="121"/>
        <v>0</v>
      </c>
      <c r="AM237" s="5">
        <f t="shared" si="122"/>
        <v>0</v>
      </c>
      <c r="AN237" s="5">
        <f t="shared" si="123"/>
        <v>0</v>
      </c>
      <c r="AO237" s="5">
        <f t="shared" si="124"/>
        <v>0</v>
      </c>
      <c r="AP237" s="5">
        <f t="shared" si="125"/>
        <v>0</v>
      </c>
      <c r="AQ237" s="5">
        <f t="shared" si="126"/>
        <v>0</v>
      </c>
      <c r="AR237" s="5">
        <f t="shared" si="127"/>
        <v>0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M237" s="40">
        <f>IF(OR(V236=4,V236=8,V236=12,V236=16,V236=20),$CA$1,0)</f>
        <v>161491.14583333334</v>
      </c>
      <c r="BN237" s="40">
        <f>IF(OR(W236=4,W236=8,W236=12,W236=16,W236=20),$CA$1,0)</f>
        <v>0</v>
      </c>
      <c r="BO237" s="40">
        <f>IF(OR(X236=4,X236=8,X236=12,X236=16,X236=20),$CA$1,0)</f>
        <v>0</v>
      </c>
      <c r="BP237" s="40">
        <f>IF(OR(Y236=4,Y236=8,Y236=12,Y236=16,Y236=20),$CA$1,0)</f>
        <v>0</v>
      </c>
      <c r="BQ237" s="40">
        <f>IF(OR(Z236=4,Z236=8,Z236=12,Z236=16,Z236=20),$CA$1,0)</f>
        <v>0</v>
      </c>
      <c r="BR237" s="40">
        <f>IF(OR(AA236=4,AA236=8,AA236=12,AA236=16,AA236=20),$CA$1,0)</f>
        <v>0</v>
      </c>
      <c r="BS237" s="40">
        <f>IF(V233=20,$CB$1,0)</f>
        <v>0</v>
      </c>
      <c r="BT237" s="40">
        <f>IF(W233=20,$CB$1,0)</f>
        <v>0</v>
      </c>
      <c r="BU237" s="40">
        <f>IF(X233=20,$CB$1,0)</f>
        <v>0</v>
      </c>
      <c r="BV237" s="40">
        <f>IF(Y233=20,$CB$1,0)</f>
        <v>0</v>
      </c>
      <c r="BW237" s="40">
        <f>IF(Z233=20,$CB$1,0)</f>
        <v>0</v>
      </c>
      <c r="BX237" s="40">
        <f>IF(AA233=20,$CB$1,0)</f>
        <v>0</v>
      </c>
      <c r="BY237" s="41">
        <f t="shared" si="107"/>
        <v>161491.14583333334</v>
      </c>
      <c r="BZ237" s="41">
        <f t="shared" si="108"/>
        <v>161491.14583333334</v>
      </c>
      <c r="CA237" s="58">
        <f t="shared" si="98"/>
        <v>44732</v>
      </c>
      <c r="CB237" s="47">
        <f t="shared" si="109"/>
        <v>0</v>
      </c>
    </row>
    <row r="238" spans="2:84" ht="15" outlineLevel="1" x14ac:dyDescent="0.2">
      <c r="B238" s="18">
        <f t="shared" si="102"/>
        <v>44739</v>
      </c>
      <c r="C238" s="17" t="s">
        <v>1</v>
      </c>
      <c r="D238" s="19">
        <f t="shared" si="103"/>
        <v>44745</v>
      </c>
      <c r="E238" s="20">
        <f t="shared" si="104"/>
        <v>6</v>
      </c>
      <c r="F238" s="21">
        <f t="shared" si="105"/>
        <v>2022</v>
      </c>
      <c r="G238" s="11">
        <f t="shared" si="129"/>
        <v>22</v>
      </c>
      <c r="H238" s="10">
        <f t="shared" si="129"/>
        <v>66</v>
      </c>
      <c r="I238" s="11"/>
      <c r="J238" s="11"/>
      <c r="K238" s="11"/>
      <c r="L238" s="11"/>
      <c r="M238" s="11"/>
      <c r="N238" s="11"/>
      <c r="O238" s="14"/>
      <c r="P238" s="14"/>
      <c r="Q238" s="14"/>
      <c r="R238" s="14"/>
      <c r="S238" s="14"/>
      <c r="T238" s="14"/>
      <c r="V238" s="22">
        <f t="shared" si="128"/>
        <v>6</v>
      </c>
      <c r="W238" s="22">
        <f t="shared" si="128"/>
        <v>0</v>
      </c>
      <c r="X238" s="22">
        <f t="shared" si="128"/>
        <v>0</v>
      </c>
      <c r="Y238" s="22">
        <f t="shared" si="128"/>
        <v>0</v>
      </c>
      <c r="Z238" s="22">
        <f t="shared" si="128"/>
        <v>0</v>
      </c>
      <c r="AA238" s="22">
        <f t="shared" si="128"/>
        <v>0</v>
      </c>
      <c r="AB238" s="1"/>
      <c r="AC238" s="5">
        <f t="shared" si="112"/>
        <v>63</v>
      </c>
      <c r="AD238" s="5">
        <f t="shared" si="113"/>
        <v>53</v>
      </c>
      <c r="AE238" s="5">
        <f t="shared" si="114"/>
        <v>33</v>
      </c>
      <c r="AF238" s="5">
        <f t="shared" si="115"/>
        <v>0</v>
      </c>
      <c r="AG238" s="5">
        <f t="shared" si="116"/>
        <v>0</v>
      </c>
      <c r="AH238" s="5">
        <f t="shared" si="117"/>
        <v>0</v>
      </c>
      <c r="AI238" s="5">
        <f t="shared" si="118"/>
        <v>0</v>
      </c>
      <c r="AJ238" s="5">
        <f t="shared" si="119"/>
        <v>0</v>
      </c>
      <c r="AK238" s="5">
        <f t="shared" si="120"/>
        <v>0</v>
      </c>
      <c r="AL238" s="5">
        <f t="shared" si="121"/>
        <v>0</v>
      </c>
      <c r="AM238" s="5">
        <f t="shared" si="122"/>
        <v>0</v>
      </c>
      <c r="AN238" s="5">
        <f t="shared" si="123"/>
        <v>0</v>
      </c>
      <c r="AO238" s="5">
        <f t="shared" si="124"/>
        <v>0</v>
      </c>
      <c r="AP238" s="5">
        <f t="shared" si="125"/>
        <v>0</v>
      </c>
      <c r="AQ238" s="5">
        <f t="shared" si="126"/>
        <v>0</v>
      </c>
      <c r="AR238" s="5">
        <f t="shared" si="127"/>
        <v>0</v>
      </c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M238" s="40">
        <f>IF(OR(V237=4,V237=8,V237=12,V237=16,V237=20),$CA$1,0)</f>
        <v>0</v>
      </c>
      <c r="BN238" s="40">
        <f>IF(OR(W237=4,W237=8,W237=12,W237=16,W237=20),$CA$1,0)</f>
        <v>0</v>
      </c>
      <c r="BO238" s="40">
        <f>IF(OR(X237=4,X237=8,X237=12,X237=16,X237=20),$CA$1,0)</f>
        <v>0</v>
      </c>
      <c r="BP238" s="40">
        <f>IF(OR(Y237=4,Y237=8,Y237=12,Y237=16,Y237=20),$CA$1,0)</f>
        <v>0</v>
      </c>
      <c r="BQ238" s="40">
        <f>IF(OR(Z237=4,Z237=8,Z237=12,Z237=16,Z237=20),$CA$1,0)</f>
        <v>0</v>
      </c>
      <c r="BR238" s="40">
        <f>IF(OR(AA237=4,AA237=8,AA237=12,AA237=16,AA237=20),$CA$1,0)</f>
        <v>0</v>
      </c>
      <c r="BS238" s="40">
        <f>IF(V234=20,$CB$1,0)</f>
        <v>0</v>
      </c>
      <c r="BT238" s="40">
        <f>IF(W234=20,$CB$1,0)</f>
        <v>0</v>
      </c>
      <c r="BU238" s="40">
        <f>IF(X234=20,$CB$1,0)</f>
        <v>0</v>
      </c>
      <c r="BV238" s="40">
        <f>IF(Y234=20,$CB$1,0)</f>
        <v>0</v>
      </c>
      <c r="BW238" s="40">
        <f>IF(Z234=20,$CB$1,0)</f>
        <v>0</v>
      </c>
      <c r="BX238" s="40">
        <f>IF(AA234=20,$CB$1,0)</f>
        <v>0</v>
      </c>
      <c r="BY238" s="41">
        <f t="shared" si="107"/>
        <v>0</v>
      </c>
      <c r="BZ238" s="41">
        <f t="shared" si="108"/>
        <v>161491.14583333334</v>
      </c>
      <c r="CA238" s="58">
        <f t="shared" ref="CA238:CA301" si="130">B238</f>
        <v>44739</v>
      </c>
      <c r="CB238" s="47">
        <f t="shared" si="109"/>
        <v>161491.14583333334</v>
      </c>
    </row>
    <row r="239" spans="2:84" ht="15" outlineLevel="1" x14ac:dyDescent="0.2">
      <c r="B239" s="18">
        <f t="shared" si="102"/>
        <v>44746</v>
      </c>
      <c r="C239" s="17" t="s">
        <v>1</v>
      </c>
      <c r="D239" s="19">
        <f t="shared" si="103"/>
        <v>44752</v>
      </c>
      <c r="E239" s="20">
        <f t="shared" si="104"/>
        <v>7</v>
      </c>
      <c r="F239" s="21">
        <f t="shared" si="105"/>
        <v>2022</v>
      </c>
      <c r="G239" s="11">
        <f t="shared" si="129"/>
        <v>22</v>
      </c>
      <c r="H239" s="10">
        <f t="shared" si="129"/>
        <v>66</v>
      </c>
      <c r="I239" s="11"/>
      <c r="J239" s="11"/>
      <c r="K239" s="11"/>
      <c r="L239" s="11"/>
      <c r="M239" s="11"/>
      <c r="N239" s="11"/>
      <c r="O239" s="14"/>
      <c r="P239" s="14"/>
      <c r="Q239" s="14"/>
      <c r="R239" s="14"/>
      <c r="S239" s="14"/>
      <c r="T239" s="14"/>
      <c r="V239" s="22">
        <f>IF(I239&gt;0,I239,IF(O239=1,$B239+2,IF(O238=1,1,IF(O238=2,0,IF(V238=$G238,0,(IF(V238&gt;=1,V238+1,0)))))))</f>
        <v>7</v>
      </c>
      <c r="W239" s="22">
        <f t="shared" si="128"/>
        <v>0</v>
      </c>
      <c r="X239" s="22">
        <f t="shared" si="128"/>
        <v>0</v>
      </c>
      <c r="Y239" s="22">
        <f t="shared" si="128"/>
        <v>0</v>
      </c>
      <c r="Z239" s="22">
        <f t="shared" si="128"/>
        <v>0</v>
      </c>
      <c r="AA239" s="22">
        <f t="shared" si="128"/>
        <v>0</v>
      </c>
      <c r="AB239" s="1"/>
      <c r="AC239" s="5">
        <f t="shared" si="112"/>
        <v>64</v>
      </c>
      <c r="AD239" s="5">
        <f t="shared" si="113"/>
        <v>54</v>
      </c>
      <c r="AE239" s="5">
        <f t="shared" si="114"/>
        <v>34</v>
      </c>
      <c r="AF239" s="5">
        <f t="shared" si="115"/>
        <v>0</v>
      </c>
      <c r="AG239" s="5">
        <f t="shared" si="116"/>
        <v>0</v>
      </c>
      <c r="AH239" s="5">
        <f t="shared" si="117"/>
        <v>0</v>
      </c>
      <c r="AI239" s="5">
        <f t="shared" si="118"/>
        <v>0</v>
      </c>
      <c r="AJ239" s="5">
        <f t="shared" si="119"/>
        <v>0</v>
      </c>
      <c r="AK239" s="5">
        <f t="shared" si="120"/>
        <v>0</v>
      </c>
      <c r="AL239" s="5">
        <f t="shared" si="121"/>
        <v>0</v>
      </c>
      <c r="AM239" s="5">
        <f t="shared" si="122"/>
        <v>0</v>
      </c>
      <c r="AN239" s="5">
        <f t="shared" si="123"/>
        <v>0</v>
      </c>
      <c r="AO239" s="5">
        <f t="shared" si="124"/>
        <v>0</v>
      </c>
      <c r="AP239" s="5">
        <f t="shared" si="125"/>
        <v>0</v>
      </c>
      <c r="AQ239" s="5">
        <f t="shared" si="126"/>
        <v>0</v>
      </c>
      <c r="AR239" s="5">
        <f t="shared" si="127"/>
        <v>0</v>
      </c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M239" s="40">
        <f>IF(OR(V238=4,V238=8,V238=12,V238=16,V238=20),$CA$1,0)</f>
        <v>0</v>
      </c>
      <c r="BN239" s="40">
        <f>IF(OR(W238=4,W238=8,W238=12,W238=16,W238=20),$CA$1,0)</f>
        <v>0</v>
      </c>
      <c r="BO239" s="40">
        <f>IF(OR(X238=4,X238=8,X238=12,X238=16,X238=20),$CA$1,0)</f>
        <v>0</v>
      </c>
      <c r="BP239" s="40">
        <f>IF(OR(Y238=4,Y238=8,Y238=12,Y238=16,Y238=20),$CA$1,0)</f>
        <v>0</v>
      </c>
      <c r="BQ239" s="40">
        <f>IF(OR(Z238=4,Z238=8,Z238=12,Z238=16,Z238=20),$CA$1,0)</f>
        <v>0</v>
      </c>
      <c r="BR239" s="40">
        <f>IF(OR(AA238=4,AA238=8,AA238=12,AA238=16,AA238=20),$CA$1,0)</f>
        <v>0</v>
      </c>
      <c r="BS239" s="40">
        <f>IF(V235=20,$CB$1,0)</f>
        <v>0</v>
      </c>
      <c r="BT239" s="40">
        <f>IF(W235=20,$CB$1,0)</f>
        <v>0</v>
      </c>
      <c r="BU239" s="40">
        <f>IF(X235=20,$CB$1,0)</f>
        <v>0</v>
      </c>
      <c r="BV239" s="40">
        <f>IF(Y235=20,$CB$1,0)</f>
        <v>0</v>
      </c>
      <c r="BW239" s="40">
        <f>IF(Z235=20,$CB$1,0)</f>
        <v>0</v>
      </c>
      <c r="BX239" s="40">
        <f>IF(AA235=20,$CB$1,0)</f>
        <v>0</v>
      </c>
      <c r="BY239" s="41">
        <f t="shared" si="107"/>
        <v>0</v>
      </c>
      <c r="BZ239" s="41">
        <f t="shared" si="108"/>
        <v>0</v>
      </c>
      <c r="CA239" s="58">
        <f t="shared" si="130"/>
        <v>44746</v>
      </c>
      <c r="CB239" s="47">
        <f t="shared" si="109"/>
        <v>0</v>
      </c>
    </row>
    <row r="240" spans="2:84" ht="15" outlineLevel="1" x14ac:dyDescent="0.2">
      <c r="B240" s="18">
        <f t="shared" si="102"/>
        <v>44753</v>
      </c>
      <c r="C240" s="17" t="s">
        <v>1</v>
      </c>
      <c r="D240" s="19">
        <f t="shared" si="103"/>
        <v>44759</v>
      </c>
      <c r="E240" s="20">
        <f t="shared" si="104"/>
        <v>7</v>
      </c>
      <c r="F240" s="21">
        <f t="shared" si="105"/>
        <v>2022</v>
      </c>
      <c r="G240" s="11">
        <f t="shared" si="129"/>
        <v>22</v>
      </c>
      <c r="H240" s="10">
        <f t="shared" si="129"/>
        <v>66</v>
      </c>
      <c r="I240" s="11"/>
      <c r="J240" s="11"/>
      <c r="K240" s="11"/>
      <c r="L240" s="11"/>
      <c r="M240" s="11"/>
      <c r="N240" s="11"/>
      <c r="O240" s="14"/>
      <c r="P240" s="14"/>
      <c r="Q240" s="14"/>
      <c r="R240" s="14"/>
      <c r="S240" s="14"/>
      <c r="T240" s="14"/>
      <c r="V240" s="22">
        <f t="shared" si="128"/>
        <v>8</v>
      </c>
      <c r="W240" s="22">
        <f t="shared" si="128"/>
        <v>0</v>
      </c>
      <c r="X240" s="22">
        <f t="shared" si="128"/>
        <v>0</v>
      </c>
      <c r="Y240" s="22">
        <f t="shared" si="128"/>
        <v>0</v>
      </c>
      <c r="Z240" s="22">
        <f t="shared" si="128"/>
        <v>0</v>
      </c>
      <c r="AA240" s="22">
        <f t="shared" si="128"/>
        <v>0</v>
      </c>
      <c r="AB240" s="1"/>
      <c r="AC240" s="5">
        <f t="shared" si="112"/>
        <v>65</v>
      </c>
      <c r="AD240" s="5">
        <f t="shared" si="113"/>
        <v>55</v>
      </c>
      <c r="AE240" s="5">
        <f t="shared" si="114"/>
        <v>35</v>
      </c>
      <c r="AF240" s="5">
        <f t="shared" si="115"/>
        <v>0</v>
      </c>
      <c r="AG240" s="5">
        <f t="shared" si="116"/>
        <v>0</v>
      </c>
      <c r="AH240" s="5">
        <f t="shared" si="117"/>
        <v>0</v>
      </c>
      <c r="AI240" s="5">
        <f t="shared" si="118"/>
        <v>0</v>
      </c>
      <c r="AJ240" s="5">
        <f t="shared" si="119"/>
        <v>0</v>
      </c>
      <c r="AK240" s="5">
        <f t="shared" si="120"/>
        <v>0</v>
      </c>
      <c r="AL240" s="5">
        <f t="shared" si="121"/>
        <v>0</v>
      </c>
      <c r="AM240" s="5">
        <f t="shared" si="122"/>
        <v>0</v>
      </c>
      <c r="AN240" s="5">
        <f t="shared" si="123"/>
        <v>0</v>
      </c>
      <c r="AO240" s="5">
        <f t="shared" si="124"/>
        <v>0</v>
      </c>
      <c r="AP240" s="5">
        <f t="shared" si="125"/>
        <v>0</v>
      </c>
      <c r="AQ240" s="5">
        <f t="shared" si="126"/>
        <v>0</v>
      </c>
      <c r="AR240" s="5">
        <f t="shared" si="127"/>
        <v>0</v>
      </c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M240" s="40">
        <f>IF(OR(V239=4,V239=8,V239=12,V239=16,V239=20),$CA$1,0)</f>
        <v>0</v>
      </c>
      <c r="BN240" s="40">
        <f>IF(OR(W239=4,W239=8,W239=12,W239=16,W239=20),$CA$1,0)</f>
        <v>0</v>
      </c>
      <c r="BO240" s="40">
        <f>IF(OR(X239=4,X239=8,X239=12,X239=16,X239=20),$CA$1,0)</f>
        <v>0</v>
      </c>
      <c r="BP240" s="40">
        <f>IF(OR(Y239=4,Y239=8,Y239=12,Y239=16,Y239=20),$CA$1,0)</f>
        <v>0</v>
      </c>
      <c r="BQ240" s="40">
        <f>IF(OR(Z239=4,Z239=8,Z239=12,Z239=16,Z239=20),$CA$1,0)</f>
        <v>0</v>
      </c>
      <c r="BR240" s="40">
        <f>IF(OR(AA239=4,AA239=8,AA239=12,AA239=16,AA239=20),$CA$1,0)</f>
        <v>0</v>
      </c>
      <c r="BS240" s="40">
        <f>IF(V236=20,$CB$1,0)</f>
        <v>0</v>
      </c>
      <c r="BT240" s="40">
        <f>IF(W236=20,$CB$1,0)</f>
        <v>0</v>
      </c>
      <c r="BU240" s="40">
        <f>IF(X236=20,$CB$1,0)</f>
        <v>0</v>
      </c>
      <c r="BV240" s="40">
        <f>IF(Y236=20,$CB$1,0)</f>
        <v>0</v>
      </c>
      <c r="BW240" s="40">
        <f>IF(Z236=20,$CB$1,0)</f>
        <v>0</v>
      </c>
      <c r="BX240" s="40">
        <f>IF(AA236=20,$CB$1,0)</f>
        <v>0</v>
      </c>
      <c r="BY240" s="41">
        <f t="shared" si="107"/>
        <v>0</v>
      </c>
      <c r="BZ240" s="41">
        <f t="shared" si="108"/>
        <v>0</v>
      </c>
      <c r="CA240" s="58">
        <f t="shared" si="130"/>
        <v>44753</v>
      </c>
      <c r="CB240" s="47">
        <f t="shared" si="109"/>
        <v>0</v>
      </c>
    </row>
    <row r="241" spans="2:80" ht="15" outlineLevel="1" x14ac:dyDescent="0.2">
      <c r="B241" s="18">
        <f t="shared" si="102"/>
        <v>44760</v>
      </c>
      <c r="C241" s="17" t="s">
        <v>1</v>
      </c>
      <c r="D241" s="19">
        <f t="shared" si="103"/>
        <v>44766</v>
      </c>
      <c r="E241" s="20">
        <f t="shared" si="104"/>
        <v>7</v>
      </c>
      <c r="F241" s="21">
        <f t="shared" si="105"/>
        <v>2022</v>
      </c>
      <c r="G241" s="11">
        <f t="shared" si="129"/>
        <v>22</v>
      </c>
      <c r="H241" s="10">
        <f t="shared" si="129"/>
        <v>66</v>
      </c>
      <c r="I241" s="11"/>
      <c r="J241" s="11"/>
      <c r="K241" s="11"/>
      <c r="L241" s="11"/>
      <c r="M241" s="11"/>
      <c r="N241" s="11"/>
      <c r="O241" s="14"/>
      <c r="P241" s="14"/>
      <c r="Q241" s="14"/>
      <c r="R241" s="14"/>
      <c r="S241" s="14"/>
      <c r="T241" s="14"/>
      <c r="V241" s="22">
        <f>IF(I241&gt;0,I241,IF(O241=1,$B241+2,IF(O240=1,1,IF(O240=2,0,IF(V240=$G240,0,(IF(V240&gt;=1,V240+1,0)))))))</f>
        <v>9</v>
      </c>
      <c r="W241" s="22">
        <f t="shared" si="128"/>
        <v>0</v>
      </c>
      <c r="X241" s="22">
        <f t="shared" si="128"/>
        <v>0</v>
      </c>
      <c r="Y241" s="22">
        <f t="shared" si="128"/>
        <v>0</v>
      </c>
      <c r="Z241" s="22">
        <f t="shared" si="128"/>
        <v>0</v>
      </c>
      <c r="AA241" s="22">
        <f t="shared" si="128"/>
        <v>0</v>
      </c>
      <c r="AB241" s="1"/>
      <c r="AC241" s="5">
        <f t="shared" si="112"/>
        <v>66</v>
      </c>
      <c r="AD241" s="5">
        <f t="shared" si="113"/>
        <v>56</v>
      </c>
      <c r="AE241" s="5">
        <f t="shared" si="114"/>
        <v>36</v>
      </c>
      <c r="AF241" s="5">
        <f t="shared" si="115"/>
        <v>0</v>
      </c>
      <c r="AG241" s="5">
        <f t="shared" si="116"/>
        <v>0</v>
      </c>
      <c r="AH241" s="5">
        <f t="shared" si="117"/>
        <v>0</v>
      </c>
      <c r="AI241" s="5">
        <f t="shared" si="118"/>
        <v>0</v>
      </c>
      <c r="AJ241" s="5">
        <f t="shared" si="119"/>
        <v>0</v>
      </c>
      <c r="AK241" s="5">
        <f t="shared" si="120"/>
        <v>0</v>
      </c>
      <c r="AL241" s="5">
        <f t="shared" si="121"/>
        <v>0</v>
      </c>
      <c r="AM241" s="5">
        <f t="shared" si="122"/>
        <v>0</v>
      </c>
      <c r="AN241" s="5">
        <f t="shared" si="123"/>
        <v>0</v>
      </c>
      <c r="AO241" s="5">
        <f t="shared" si="124"/>
        <v>0</v>
      </c>
      <c r="AP241" s="5">
        <f t="shared" si="125"/>
        <v>0</v>
      </c>
      <c r="AQ241" s="5">
        <f t="shared" si="126"/>
        <v>0</v>
      </c>
      <c r="AR241" s="5">
        <f t="shared" si="127"/>
        <v>0</v>
      </c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M241" s="40">
        <f>IF(OR(V240=4,V240=8,V240=12,V240=16,V240=20),$CA$1,0)</f>
        <v>161491.14583333334</v>
      </c>
      <c r="BN241" s="40">
        <f>IF(OR(W240=4,W240=8,W240=12,W240=16,W240=20),$CA$1,0)</f>
        <v>0</v>
      </c>
      <c r="BO241" s="40">
        <f>IF(OR(X240=4,X240=8,X240=12,X240=16,X240=20),$CA$1,0)</f>
        <v>0</v>
      </c>
      <c r="BP241" s="40">
        <f>IF(OR(Y240=4,Y240=8,Y240=12,Y240=16,Y240=20),$CA$1,0)</f>
        <v>0</v>
      </c>
      <c r="BQ241" s="40">
        <f>IF(OR(Z240=4,Z240=8,Z240=12,Z240=16,Z240=20),$CA$1,0)</f>
        <v>0</v>
      </c>
      <c r="BR241" s="40">
        <f>IF(OR(AA240=4,AA240=8,AA240=12,AA240=16,AA240=20),$CA$1,0)</f>
        <v>0</v>
      </c>
      <c r="BS241" s="40">
        <f>IF(V237=20,$CB$1,0)</f>
        <v>0</v>
      </c>
      <c r="BT241" s="40">
        <f>IF(W237=20,$CB$1,0)</f>
        <v>0</v>
      </c>
      <c r="BU241" s="40">
        <f>IF(X237=20,$CB$1,0)</f>
        <v>0</v>
      </c>
      <c r="BV241" s="40">
        <f>IF(Y237=20,$CB$1,0)</f>
        <v>0</v>
      </c>
      <c r="BW241" s="40">
        <f>IF(Z237=20,$CB$1,0)</f>
        <v>0</v>
      </c>
      <c r="BX241" s="40">
        <f>IF(AA237=20,$CB$1,0)</f>
        <v>0</v>
      </c>
      <c r="BY241" s="41">
        <f t="shared" si="107"/>
        <v>161491.14583333334</v>
      </c>
      <c r="BZ241" s="41">
        <f t="shared" si="108"/>
        <v>161491.14583333334</v>
      </c>
      <c r="CA241" s="58">
        <f t="shared" si="130"/>
        <v>44760</v>
      </c>
      <c r="CB241" s="47">
        <f t="shared" si="109"/>
        <v>0</v>
      </c>
    </row>
    <row r="242" spans="2:80" ht="15" outlineLevel="1" x14ac:dyDescent="0.2">
      <c r="B242" s="18">
        <f t="shared" si="102"/>
        <v>44767</v>
      </c>
      <c r="C242" s="17" t="s">
        <v>1</v>
      </c>
      <c r="D242" s="19">
        <f t="shared" si="103"/>
        <v>44773</v>
      </c>
      <c r="E242" s="20">
        <f t="shared" si="104"/>
        <v>7</v>
      </c>
      <c r="F242" s="21">
        <f t="shared" si="105"/>
        <v>2022</v>
      </c>
      <c r="G242" s="11">
        <f t="shared" si="129"/>
        <v>22</v>
      </c>
      <c r="H242" s="10">
        <f t="shared" si="129"/>
        <v>66</v>
      </c>
      <c r="I242" s="11"/>
      <c r="J242" s="11"/>
      <c r="K242" s="11"/>
      <c r="L242" s="11"/>
      <c r="M242" s="11"/>
      <c r="N242" s="11"/>
      <c r="O242" s="14"/>
      <c r="P242" s="14"/>
      <c r="Q242" s="14"/>
      <c r="R242" s="14"/>
      <c r="S242" s="14"/>
      <c r="T242" s="14"/>
      <c r="V242" s="22">
        <f t="shared" si="128"/>
        <v>10</v>
      </c>
      <c r="W242" s="22">
        <f t="shared" si="128"/>
        <v>0</v>
      </c>
      <c r="X242" s="22">
        <f t="shared" si="128"/>
        <v>0</v>
      </c>
      <c r="Y242" s="22">
        <f t="shared" si="128"/>
        <v>0</v>
      </c>
      <c r="Z242" s="22">
        <f t="shared" si="128"/>
        <v>0</v>
      </c>
      <c r="AA242" s="22">
        <f t="shared" si="128"/>
        <v>0</v>
      </c>
      <c r="AB242" s="1"/>
      <c r="AC242" s="5">
        <f t="shared" si="112"/>
        <v>0</v>
      </c>
      <c r="AD242" s="5">
        <f t="shared" si="113"/>
        <v>57</v>
      </c>
      <c r="AE242" s="5">
        <f t="shared" si="114"/>
        <v>37</v>
      </c>
      <c r="AF242" s="5">
        <f t="shared" si="115"/>
        <v>0</v>
      </c>
      <c r="AG242" s="5">
        <f t="shared" si="116"/>
        <v>0</v>
      </c>
      <c r="AH242" s="5">
        <f t="shared" si="117"/>
        <v>0</v>
      </c>
      <c r="AI242" s="5">
        <f t="shared" si="118"/>
        <v>0</v>
      </c>
      <c r="AJ242" s="5">
        <f t="shared" si="119"/>
        <v>0</v>
      </c>
      <c r="AK242" s="5">
        <f t="shared" si="120"/>
        <v>0</v>
      </c>
      <c r="AL242" s="5">
        <f t="shared" si="121"/>
        <v>0</v>
      </c>
      <c r="AM242" s="5">
        <f t="shared" si="122"/>
        <v>0</v>
      </c>
      <c r="AN242" s="5">
        <f t="shared" si="123"/>
        <v>0</v>
      </c>
      <c r="AO242" s="5">
        <f t="shared" si="124"/>
        <v>0</v>
      </c>
      <c r="AP242" s="5">
        <f t="shared" si="125"/>
        <v>0</v>
      </c>
      <c r="AQ242" s="5">
        <f t="shared" si="126"/>
        <v>0</v>
      </c>
      <c r="AR242" s="5">
        <f t="shared" si="127"/>
        <v>0</v>
      </c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M242" s="40">
        <f>IF(OR(V241=4,V241=8,V241=12,V241=16,V241=20),$CA$1,0)</f>
        <v>0</v>
      </c>
      <c r="BN242" s="40">
        <f>IF(OR(W241=4,W241=8,W241=12,W241=16,W241=20),$CA$1,0)</f>
        <v>0</v>
      </c>
      <c r="BO242" s="40">
        <f>IF(OR(X241=4,X241=8,X241=12,X241=16,X241=20),$CA$1,0)</f>
        <v>0</v>
      </c>
      <c r="BP242" s="40">
        <f>IF(OR(Y241=4,Y241=8,Y241=12,Y241=16,Y241=20),$CA$1,0)</f>
        <v>0</v>
      </c>
      <c r="BQ242" s="40">
        <f>IF(OR(Z241=4,Z241=8,Z241=12,Z241=16,Z241=20),$CA$1,0)</f>
        <v>0</v>
      </c>
      <c r="BR242" s="40">
        <f>IF(OR(AA241=4,AA241=8,AA241=12,AA241=16,AA241=20),$CA$1,0)</f>
        <v>0</v>
      </c>
      <c r="BS242" s="40">
        <f>IF(V238=20,$CB$1,0)</f>
        <v>0</v>
      </c>
      <c r="BT242" s="40">
        <f>IF(W238=20,$CB$1,0)</f>
        <v>0</v>
      </c>
      <c r="BU242" s="40">
        <f>IF(X238=20,$CB$1,0)</f>
        <v>0</v>
      </c>
      <c r="BV242" s="40">
        <f>IF(Y238=20,$CB$1,0)</f>
        <v>0</v>
      </c>
      <c r="BW242" s="40">
        <f>IF(Z238=20,$CB$1,0)</f>
        <v>0</v>
      </c>
      <c r="BX242" s="40">
        <f>IF(AA238=20,$CB$1,0)</f>
        <v>0</v>
      </c>
      <c r="BY242" s="41">
        <f t="shared" si="107"/>
        <v>0</v>
      </c>
      <c r="BZ242" s="41">
        <f t="shared" si="108"/>
        <v>161491.14583333334</v>
      </c>
      <c r="CA242" s="58">
        <f t="shared" si="130"/>
        <v>44767</v>
      </c>
      <c r="CB242" s="47">
        <f t="shared" si="109"/>
        <v>161491.14583333334</v>
      </c>
    </row>
    <row r="243" spans="2:80" ht="15" outlineLevel="1" x14ac:dyDescent="0.2">
      <c r="B243" s="18">
        <f t="shared" si="102"/>
        <v>44774</v>
      </c>
      <c r="C243" s="17" t="s">
        <v>1</v>
      </c>
      <c r="D243" s="19">
        <f t="shared" si="103"/>
        <v>44780</v>
      </c>
      <c r="E243" s="20">
        <f t="shared" si="104"/>
        <v>8</v>
      </c>
      <c r="F243" s="21">
        <f t="shared" si="105"/>
        <v>2022</v>
      </c>
      <c r="G243" s="11">
        <f t="shared" si="129"/>
        <v>22</v>
      </c>
      <c r="H243" s="10">
        <f t="shared" si="129"/>
        <v>66</v>
      </c>
      <c r="I243" s="11"/>
      <c r="J243" s="11"/>
      <c r="K243" s="11"/>
      <c r="L243" s="11"/>
      <c r="M243" s="11"/>
      <c r="N243" s="11"/>
      <c r="O243" s="14"/>
      <c r="P243" s="14"/>
      <c r="Q243" s="14"/>
      <c r="R243" s="14"/>
      <c r="S243" s="14"/>
      <c r="T243" s="14"/>
      <c r="V243" s="22">
        <f t="shared" si="128"/>
        <v>11</v>
      </c>
      <c r="W243" s="22">
        <f t="shared" si="128"/>
        <v>0</v>
      </c>
      <c r="X243" s="22">
        <f t="shared" si="128"/>
        <v>0</v>
      </c>
      <c r="Y243" s="22">
        <f t="shared" si="128"/>
        <v>0</v>
      </c>
      <c r="Z243" s="22">
        <f t="shared" si="128"/>
        <v>0</v>
      </c>
      <c r="AA243" s="22">
        <f t="shared" si="128"/>
        <v>0</v>
      </c>
      <c r="AB243" s="1"/>
      <c r="AC243" s="5">
        <f t="shared" si="112"/>
        <v>0</v>
      </c>
      <c r="AD243" s="5">
        <f t="shared" si="113"/>
        <v>58</v>
      </c>
      <c r="AE243" s="5">
        <f t="shared" si="114"/>
        <v>38</v>
      </c>
      <c r="AF243" s="5">
        <f t="shared" si="115"/>
        <v>0</v>
      </c>
      <c r="AG243" s="5">
        <f t="shared" si="116"/>
        <v>0</v>
      </c>
      <c r="AH243" s="5">
        <f t="shared" si="117"/>
        <v>0</v>
      </c>
      <c r="AI243" s="5">
        <f t="shared" si="118"/>
        <v>0</v>
      </c>
      <c r="AJ243" s="5">
        <f t="shared" si="119"/>
        <v>0</v>
      </c>
      <c r="AK243" s="5">
        <f t="shared" si="120"/>
        <v>0</v>
      </c>
      <c r="AL243" s="5">
        <f t="shared" si="121"/>
        <v>0</v>
      </c>
      <c r="AM243" s="5">
        <f t="shared" si="122"/>
        <v>0</v>
      </c>
      <c r="AN243" s="5">
        <f t="shared" si="123"/>
        <v>0</v>
      </c>
      <c r="AO243" s="5">
        <f t="shared" si="124"/>
        <v>0</v>
      </c>
      <c r="AP243" s="5">
        <f t="shared" si="125"/>
        <v>0</v>
      </c>
      <c r="AQ243" s="5">
        <f t="shared" si="126"/>
        <v>0</v>
      </c>
      <c r="AR243" s="5">
        <f t="shared" si="127"/>
        <v>0</v>
      </c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M243" s="40">
        <f>IF(OR(V242=4,V242=8,V242=12,V242=16,V242=20),$CA$1,0)</f>
        <v>0</v>
      </c>
      <c r="BN243" s="40">
        <f>IF(OR(W242=4,W242=8,W242=12,W242=16,W242=20),$CA$1,0)</f>
        <v>0</v>
      </c>
      <c r="BO243" s="40">
        <f>IF(OR(X242=4,X242=8,X242=12,X242=16,X242=20),$CA$1,0)</f>
        <v>0</v>
      </c>
      <c r="BP243" s="40">
        <f>IF(OR(Y242=4,Y242=8,Y242=12,Y242=16,Y242=20),$CA$1,0)</f>
        <v>0</v>
      </c>
      <c r="BQ243" s="40">
        <f>IF(OR(Z242=4,Z242=8,Z242=12,Z242=16,Z242=20),$CA$1,0)</f>
        <v>0</v>
      </c>
      <c r="BR243" s="40">
        <f>IF(OR(AA242=4,AA242=8,AA242=12,AA242=16,AA242=20),$CA$1,0)</f>
        <v>0</v>
      </c>
      <c r="BS243" s="40">
        <f>IF(V239=20,$CB$1,0)</f>
        <v>0</v>
      </c>
      <c r="BT243" s="40">
        <f>IF(W239=20,$CB$1,0)</f>
        <v>0</v>
      </c>
      <c r="BU243" s="40">
        <f>IF(X239=20,$CB$1,0)</f>
        <v>0</v>
      </c>
      <c r="BV243" s="40">
        <f>IF(Y239=20,$CB$1,0)</f>
        <v>0</v>
      </c>
      <c r="BW243" s="40">
        <f>IF(Z239=20,$CB$1,0)</f>
        <v>0</v>
      </c>
      <c r="BX243" s="40">
        <f>IF(AA239=20,$CB$1,0)</f>
        <v>0</v>
      </c>
      <c r="BY243" s="41">
        <f t="shared" si="107"/>
        <v>0</v>
      </c>
      <c r="BZ243" s="41">
        <f t="shared" si="108"/>
        <v>0</v>
      </c>
      <c r="CA243" s="58">
        <f t="shared" si="130"/>
        <v>44774</v>
      </c>
      <c r="CB243" s="47">
        <f t="shared" si="109"/>
        <v>0</v>
      </c>
    </row>
    <row r="244" spans="2:80" ht="15" outlineLevel="1" x14ac:dyDescent="0.2">
      <c r="B244" s="18">
        <f t="shared" si="102"/>
        <v>44781</v>
      </c>
      <c r="C244" s="17" t="s">
        <v>1</v>
      </c>
      <c r="D244" s="19">
        <f t="shared" si="103"/>
        <v>44787</v>
      </c>
      <c r="E244" s="20">
        <f t="shared" si="104"/>
        <v>8</v>
      </c>
      <c r="F244" s="21">
        <f t="shared" si="105"/>
        <v>2022</v>
      </c>
      <c r="G244" s="11">
        <f t="shared" si="129"/>
        <v>22</v>
      </c>
      <c r="H244" s="10">
        <f t="shared" si="129"/>
        <v>66</v>
      </c>
      <c r="I244" s="11"/>
      <c r="J244" s="11"/>
      <c r="K244" s="11"/>
      <c r="L244" s="11"/>
      <c r="M244" s="11"/>
      <c r="N244" s="11"/>
      <c r="O244" s="14"/>
      <c r="P244" s="14"/>
      <c r="Q244" s="14"/>
      <c r="R244" s="14"/>
      <c r="S244" s="14"/>
      <c r="T244" s="14"/>
      <c r="V244" s="22">
        <f t="shared" ref="V244:AA259" si="131">IF(I244&gt;0,I244,IF(O244=1,$B244+2,IF(O243=1,1,IF(O243=2,0,IF(V243=$G243,0,(IF(V243&gt;=1,V243+1,0)))))))</f>
        <v>12</v>
      </c>
      <c r="W244" s="22">
        <f t="shared" si="131"/>
        <v>0</v>
      </c>
      <c r="X244" s="22">
        <f t="shared" si="131"/>
        <v>0</v>
      </c>
      <c r="Y244" s="22">
        <f t="shared" si="131"/>
        <v>0</v>
      </c>
      <c r="Z244" s="22">
        <f t="shared" si="131"/>
        <v>0</v>
      </c>
      <c r="AA244" s="22">
        <f t="shared" si="131"/>
        <v>0</v>
      </c>
      <c r="AB244" s="1"/>
      <c r="AC244" s="5">
        <f t="shared" si="112"/>
        <v>0</v>
      </c>
      <c r="AD244" s="5">
        <f t="shared" si="113"/>
        <v>59</v>
      </c>
      <c r="AE244" s="5">
        <f t="shared" si="114"/>
        <v>39</v>
      </c>
      <c r="AF244" s="5">
        <f t="shared" si="115"/>
        <v>0</v>
      </c>
      <c r="AG244" s="5">
        <f t="shared" si="116"/>
        <v>0</v>
      </c>
      <c r="AH244" s="5">
        <f t="shared" si="117"/>
        <v>0</v>
      </c>
      <c r="AI244" s="5">
        <f t="shared" si="118"/>
        <v>0</v>
      </c>
      <c r="AJ244" s="5">
        <f t="shared" si="119"/>
        <v>0</v>
      </c>
      <c r="AK244" s="5">
        <f t="shared" si="120"/>
        <v>0</v>
      </c>
      <c r="AL244" s="5">
        <f t="shared" si="121"/>
        <v>0</v>
      </c>
      <c r="AM244" s="5">
        <f t="shared" si="122"/>
        <v>0</v>
      </c>
      <c r="AN244" s="5">
        <f t="shared" si="123"/>
        <v>0</v>
      </c>
      <c r="AO244" s="5">
        <f t="shared" si="124"/>
        <v>0</v>
      </c>
      <c r="AP244" s="5">
        <f t="shared" si="125"/>
        <v>0</v>
      </c>
      <c r="AQ244" s="5">
        <f t="shared" si="126"/>
        <v>0</v>
      </c>
      <c r="AR244" s="5">
        <f t="shared" si="127"/>
        <v>0</v>
      </c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M244" s="40">
        <f>IF(OR(V243=4,V243=8,V243=12,V243=16,V243=20),$CA$1,0)</f>
        <v>0</v>
      </c>
      <c r="BN244" s="40">
        <f>IF(OR(W243=4,W243=8,W243=12,W243=16,W243=20),$CA$1,0)</f>
        <v>0</v>
      </c>
      <c r="BO244" s="40">
        <f>IF(OR(X243=4,X243=8,X243=12,X243=16,X243=20),$CA$1,0)</f>
        <v>0</v>
      </c>
      <c r="BP244" s="40">
        <f>IF(OR(Y243=4,Y243=8,Y243=12,Y243=16,Y243=20),$CA$1,0)</f>
        <v>0</v>
      </c>
      <c r="BQ244" s="40">
        <f>IF(OR(Z243=4,Z243=8,Z243=12,Z243=16,Z243=20),$CA$1,0)</f>
        <v>0</v>
      </c>
      <c r="BR244" s="40">
        <f>IF(OR(AA243=4,AA243=8,AA243=12,AA243=16,AA243=20),$CA$1,0)</f>
        <v>0</v>
      </c>
      <c r="BS244" s="40">
        <f>IF(V240=20,$CB$1,0)</f>
        <v>0</v>
      </c>
      <c r="BT244" s="40">
        <f>IF(W240=20,$CB$1,0)</f>
        <v>0</v>
      </c>
      <c r="BU244" s="40">
        <f>IF(X240=20,$CB$1,0)</f>
        <v>0</v>
      </c>
      <c r="BV244" s="40">
        <f>IF(Y240=20,$CB$1,0)</f>
        <v>0</v>
      </c>
      <c r="BW244" s="40">
        <f>IF(Z240=20,$CB$1,0)</f>
        <v>0</v>
      </c>
      <c r="BX244" s="40">
        <f>IF(AA240=20,$CB$1,0)</f>
        <v>0</v>
      </c>
      <c r="BY244" s="41">
        <f t="shared" si="107"/>
        <v>0</v>
      </c>
      <c r="BZ244" s="41">
        <f t="shared" si="108"/>
        <v>0</v>
      </c>
      <c r="CA244" s="58">
        <f t="shared" si="130"/>
        <v>44781</v>
      </c>
      <c r="CB244" s="47">
        <f t="shared" si="109"/>
        <v>0</v>
      </c>
    </row>
    <row r="245" spans="2:80" ht="15" outlineLevel="1" x14ac:dyDescent="0.2">
      <c r="B245" s="18">
        <f t="shared" si="102"/>
        <v>44788</v>
      </c>
      <c r="C245" s="17" t="s">
        <v>1</v>
      </c>
      <c r="D245" s="19">
        <f t="shared" si="103"/>
        <v>44794</v>
      </c>
      <c r="E245" s="20">
        <f t="shared" si="104"/>
        <v>8</v>
      </c>
      <c r="F245" s="21">
        <f t="shared" si="105"/>
        <v>2022</v>
      </c>
      <c r="G245" s="11">
        <f t="shared" si="129"/>
        <v>22</v>
      </c>
      <c r="H245" s="10">
        <f t="shared" si="129"/>
        <v>66</v>
      </c>
      <c r="I245" s="11"/>
      <c r="J245" s="11"/>
      <c r="K245" s="11"/>
      <c r="L245" s="11"/>
      <c r="M245" s="11"/>
      <c r="N245" s="11"/>
      <c r="O245" s="14"/>
      <c r="P245" s="14"/>
      <c r="Q245" s="14"/>
      <c r="R245" s="14"/>
      <c r="S245" s="14"/>
      <c r="T245" s="14"/>
      <c r="V245" s="22">
        <f t="shared" si="131"/>
        <v>13</v>
      </c>
      <c r="W245" s="22">
        <f t="shared" si="131"/>
        <v>0</v>
      </c>
      <c r="X245" s="22">
        <f t="shared" si="131"/>
        <v>0</v>
      </c>
      <c r="Y245" s="22">
        <f t="shared" si="131"/>
        <v>0</v>
      </c>
      <c r="Z245" s="22">
        <f t="shared" si="131"/>
        <v>0</v>
      </c>
      <c r="AA245" s="22">
        <f t="shared" si="131"/>
        <v>0</v>
      </c>
      <c r="AB245" s="1"/>
      <c r="AC245" s="5">
        <f t="shared" si="112"/>
        <v>0</v>
      </c>
      <c r="AD245" s="5">
        <f t="shared" si="113"/>
        <v>60</v>
      </c>
      <c r="AE245" s="5">
        <f t="shared" si="114"/>
        <v>40</v>
      </c>
      <c r="AF245" s="5">
        <f t="shared" si="115"/>
        <v>0</v>
      </c>
      <c r="AG245" s="5">
        <f t="shared" si="116"/>
        <v>0</v>
      </c>
      <c r="AH245" s="5">
        <f t="shared" si="117"/>
        <v>0</v>
      </c>
      <c r="AI245" s="5">
        <f t="shared" si="118"/>
        <v>0</v>
      </c>
      <c r="AJ245" s="5">
        <f t="shared" si="119"/>
        <v>0</v>
      </c>
      <c r="AK245" s="5">
        <f t="shared" si="120"/>
        <v>0</v>
      </c>
      <c r="AL245" s="5">
        <f t="shared" si="121"/>
        <v>0</v>
      </c>
      <c r="AM245" s="5">
        <f t="shared" si="122"/>
        <v>0</v>
      </c>
      <c r="AN245" s="5">
        <f t="shared" si="123"/>
        <v>0</v>
      </c>
      <c r="AO245" s="5">
        <f t="shared" si="124"/>
        <v>0</v>
      </c>
      <c r="AP245" s="5">
        <f t="shared" si="125"/>
        <v>0</v>
      </c>
      <c r="AQ245" s="5">
        <f t="shared" si="126"/>
        <v>0</v>
      </c>
      <c r="AR245" s="5">
        <f t="shared" si="127"/>
        <v>0</v>
      </c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M245" s="40">
        <f>IF(OR(V244=4,V244=8,V244=12,V244=16,V244=20),$CA$1,0)</f>
        <v>161491.14583333334</v>
      </c>
      <c r="BN245" s="40">
        <f>IF(OR(W244=4,W244=8,W244=12,W244=16,W244=20),$CA$1,0)</f>
        <v>0</v>
      </c>
      <c r="BO245" s="40">
        <f>IF(OR(X244=4,X244=8,X244=12,X244=16,X244=20),$CA$1,0)</f>
        <v>0</v>
      </c>
      <c r="BP245" s="40">
        <f>IF(OR(Y244=4,Y244=8,Y244=12,Y244=16,Y244=20),$CA$1,0)</f>
        <v>0</v>
      </c>
      <c r="BQ245" s="40">
        <f>IF(OR(Z244=4,Z244=8,Z244=12,Z244=16,Z244=20),$CA$1,0)</f>
        <v>0</v>
      </c>
      <c r="BR245" s="40">
        <f>IF(OR(AA244=4,AA244=8,AA244=12,AA244=16,AA244=20),$CA$1,0)</f>
        <v>0</v>
      </c>
      <c r="BS245" s="40">
        <f>IF(V241=20,$CB$1,0)</f>
        <v>0</v>
      </c>
      <c r="BT245" s="40">
        <f>IF(W241=20,$CB$1,0)</f>
        <v>0</v>
      </c>
      <c r="BU245" s="40">
        <f>IF(X241=20,$CB$1,0)</f>
        <v>0</v>
      </c>
      <c r="BV245" s="40">
        <f>IF(Y241=20,$CB$1,0)</f>
        <v>0</v>
      </c>
      <c r="BW245" s="40">
        <f>IF(Z241=20,$CB$1,0)</f>
        <v>0</v>
      </c>
      <c r="BX245" s="40">
        <f>IF(AA241=20,$CB$1,0)</f>
        <v>0</v>
      </c>
      <c r="BY245" s="41">
        <f t="shared" si="107"/>
        <v>161491.14583333334</v>
      </c>
      <c r="BZ245" s="41">
        <f t="shared" si="108"/>
        <v>161491.14583333334</v>
      </c>
      <c r="CA245" s="58">
        <f t="shared" si="130"/>
        <v>44788</v>
      </c>
      <c r="CB245" s="47">
        <f t="shared" si="109"/>
        <v>0</v>
      </c>
    </row>
    <row r="246" spans="2:80" ht="15" outlineLevel="1" x14ac:dyDescent="0.2">
      <c r="B246" s="18">
        <f t="shared" si="102"/>
        <v>44795</v>
      </c>
      <c r="C246" s="17" t="s">
        <v>1</v>
      </c>
      <c r="D246" s="19">
        <f t="shared" si="103"/>
        <v>44801</v>
      </c>
      <c r="E246" s="20">
        <f t="shared" si="104"/>
        <v>8</v>
      </c>
      <c r="F246" s="21">
        <f t="shared" si="105"/>
        <v>2022</v>
      </c>
      <c r="G246" s="11">
        <f t="shared" ref="G246:H261" si="132">G245</f>
        <v>22</v>
      </c>
      <c r="H246" s="10">
        <f t="shared" si="132"/>
        <v>66</v>
      </c>
      <c r="I246" s="11"/>
      <c r="J246" s="11"/>
      <c r="K246" s="11"/>
      <c r="L246" s="11"/>
      <c r="M246" s="11"/>
      <c r="N246" s="11"/>
      <c r="O246" s="14"/>
      <c r="P246" s="14"/>
      <c r="Q246" s="14"/>
      <c r="R246" s="14"/>
      <c r="S246" s="14"/>
      <c r="T246" s="14"/>
      <c r="V246" s="22">
        <f t="shared" si="131"/>
        <v>14</v>
      </c>
      <c r="W246" s="22">
        <f t="shared" si="131"/>
        <v>0</v>
      </c>
      <c r="X246" s="22">
        <f t="shared" si="131"/>
        <v>0</v>
      </c>
      <c r="Y246" s="22">
        <f t="shared" si="131"/>
        <v>0</v>
      </c>
      <c r="Z246" s="22">
        <f t="shared" si="131"/>
        <v>0</v>
      </c>
      <c r="AA246" s="22">
        <f t="shared" si="131"/>
        <v>0</v>
      </c>
      <c r="AB246" s="1"/>
      <c r="AC246" s="5">
        <f t="shared" si="112"/>
        <v>0</v>
      </c>
      <c r="AD246" s="5">
        <f t="shared" si="113"/>
        <v>61</v>
      </c>
      <c r="AE246" s="5">
        <f t="shared" si="114"/>
        <v>41</v>
      </c>
      <c r="AF246" s="5">
        <f t="shared" si="115"/>
        <v>0</v>
      </c>
      <c r="AG246" s="5">
        <f t="shared" si="116"/>
        <v>0</v>
      </c>
      <c r="AH246" s="5">
        <f t="shared" si="117"/>
        <v>0</v>
      </c>
      <c r="AI246" s="5">
        <f t="shared" si="118"/>
        <v>0</v>
      </c>
      <c r="AJ246" s="5">
        <f t="shared" si="119"/>
        <v>0</v>
      </c>
      <c r="AK246" s="5">
        <f t="shared" si="120"/>
        <v>0</v>
      </c>
      <c r="AL246" s="5">
        <f t="shared" si="121"/>
        <v>0</v>
      </c>
      <c r="AM246" s="5">
        <f t="shared" si="122"/>
        <v>0</v>
      </c>
      <c r="AN246" s="5">
        <f t="shared" si="123"/>
        <v>0</v>
      </c>
      <c r="AO246" s="5">
        <f t="shared" si="124"/>
        <v>0</v>
      </c>
      <c r="AP246" s="5">
        <f t="shared" si="125"/>
        <v>0</v>
      </c>
      <c r="AQ246" s="5">
        <f t="shared" si="126"/>
        <v>0</v>
      </c>
      <c r="AR246" s="5">
        <f t="shared" si="127"/>
        <v>0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M246" s="40">
        <f>IF(OR(V245=4,V245=8,V245=12,V245=16,V245=20),$CA$1,0)</f>
        <v>0</v>
      </c>
      <c r="BN246" s="40">
        <f>IF(OR(W245=4,W245=8,W245=12,W245=16,W245=20),$CA$1,0)</f>
        <v>0</v>
      </c>
      <c r="BO246" s="40">
        <f>IF(OR(X245=4,X245=8,X245=12,X245=16,X245=20),$CA$1,0)</f>
        <v>0</v>
      </c>
      <c r="BP246" s="40">
        <f>IF(OR(Y245=4,Y245=8,Y245=12,Y245=16,Y245=20),$CA$1,0)</f>
        <v>0</v>
      </c>
      <c r="BQ246" s="40">
        <f>IF(OR(Z245=4,Z245=8,Z245=12,Z245=16,Z245=20),$CA$1,0)</f>
        <v>0</v>
      </c>
      <c r="BR246" s="40">
        <f>IF(OR(AA245=4,AA245=8,AA245=12,AA245=16,AA245=20),$CA$1,0)</f>
        <v>0</v>
      </c>
      <c r="BS246" s="40">
        <f>IF(V242=20,$CB$1,0)</f>
        <v>0</v>
      </c>
      <c r="BT246" s="40">
        <f>IF(W242=20,$CB$1,0)</f>
        <v>0</v>
      </c>
      <c r="BU246" s="40">
        <f>IF(X242=20,$CB$1,0)</f>
        <v>0</v>
      </c>
      <c r="BV246" s="40">
        <f>IF(Y242=20,$CB$1,0)</f>
        <v>0</v>
      </c>
      <c r="BW246" s="40">
        <f>IF(Z242=20,$CB$1,0)</f>
        <v>0</v>
      </c>
      <c r="BX246" s="40">
        <f>IF(AA242=20,$CB$1,0)</f>
        <v>0</v>
      </c>
      <c r="BY246" s="41">
        <f t="shared" si="107"/>
        <v>0</v>
      </c>
      <c r="BZ246" s="41">
        <f t="shared" si="108"/>
        <v>161491.14583333334</v>
      </c>
      <c r="CA246" s="58">
        <f t="shared" si="130"/>
        <v>44795</v>
      </c>
      <c r="CB246" s="47">
        <f t="shared" si="109"/>
        <v>0</v>
      </c>
    </row>
    <row r="247" spans="2:80" ht="15" outlineLevel="1" x14ac:dyDescent="0.2">
      <c r="B247" s="18">
        <f t="shared" si="102"/>
        <v>44802</v>
      </c>
      <c r="C247" s="17" t="s">
        <v>1</v>
      </c>
      <c r="D247" s="19">
        <f t="shared" si="103"/>
        <v>44808</v>
      </c>
      <c r="E247" s="20">
        <f t="shared" si="104"/>
        <v>8</v>
      </c>
      <c r="F247" s="21">
        <f t="shared" si="105"/>
        <v>2022</v>
      </c>
      <c r="G247" s="11">
        <f t="shared" si="132"/>
        <v>22</v>
      </c>
      <c r="H247" s="10">
        <f t="shared" si="132"/>
        <v>66</v>
      </c>
      <c r="I247" s="11"/>
      <c r="J247" s="11"/>
      <c r="K247" s="11"/>
      <c r="L247" s="11"/>
      <c r="M247" s="11"/>
      <c r="N247" s="11"/>
      <c r="O247" s="14"/>
      <c r="P247" s="14"/>
      <c r="Q247" s="14"/>
      <c r="R247" s="14"/>
      <c r="S247" s="14"/>
      <c r="T247" s="14"/>
      <c r="V247" s="22">
        <f t="shared" si="131"/>
        <v>15</v>
      </c>
      <c r="W247" s="22">
        <f t="shared" si="131"/>
        <v>0</v>
      </c>
      <c r="X247" s="22">
        <f t="shared" si="131"/>
        <v>0</v>
      </c>
      <c r="Y247" s="22">
        <f t="shared" si="131"/>
        <v>0</v>
      </c>
      <c r="Z247" s="22">
        <f t="shared" si="131"/>
        <v>0</v>
      </c>
      <c r="AA247" s="22">
        <f t="shared" si="131"/>
        <v>0</v>
      </c>
      <c r="AB247" s="1"/>
      <c r="AC247" s="5">
        <f t="shared" si="112"/>
        <v>0</v>
      </c>
      <c r="AD247" s="5">
        <f t="shared" si="113"/>
        <v>62</v>
      </c>
      <c r="AE247" s="5">
        <f t="shared" si="114"/>
        <v>42</v>
      </c>
      <c r="AF247" s="5">
        <f t="shared" si="115"/>
        <v>0</v>
      </c>
      <c r="AG247" s="5">
        <f t="shared" si="116"/>
        <v>0</v>
      </c>
      <c r="AH247" s="5">
        <f t="shared" si="117"/>
        <v>0</v>
      </c>
      <c r="AI247" s="5">
        <f t="shared" si="118"/>
        <v>0</v>
      </c>
      <c r="AJ247" s="5">
        <f t="shared" si="119"/>
        <v>0</v>
      </c>
      <c r="AK247" s="5">
        <f t="shared" si="120"/>
        <v>0</v>
      </c>
      <c r="AL247" s="5">
        <f t="shared" si="121"/>
        <v>0</v>
      </c>
      <c r="AM247" s="5">
        <f t="shared" si="122"/>
        <v>0</v>
      </c>
      <c r="AN247" s="5">
        <f t="shared" si="123"/>
        <v>0</v>
      </c>
      <c r="AO247" s="5">
        <f t="shared" si="124"/>
        <v>0</v>
      </c>
      <c r="AP247" s="5">
        <f t="shared" si="125"/>
        <v>0</v>
      </c>
      <c r="AQ247" s="5">
        <f t="shared" si="126"/>
        <v>0</v>
      </c>
      <c r="AR247" s="5">
        <f t="shared" si="127"/>
        <v>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M247" s="40">
        <f>IF(OR(V246=4,V246=8,V246=12,V246=16,V246=20),$CA$1,0)</f>
        <v>0</v>
      </c>
      <c r="BN247" s="40">
        <f>IF(OR(W246=4,W246=8,W246=12,W246=16,W246=20),$CA$1,0)</f>
        <v>0</v>
      </c>
      <c r="BO247" s="40">
        <f>IF(OR(X246=4,X246=8,X246=12,X246=16,X246=20),$CA$1,0)</f>
        <v>0</v>
      </c>
      <c r="BP247" s="40">
        <f>IF(OR(Y246=4,Y246=8,Y246=12,Y246=16,Y246=20),$CA$1,0)</f>
        <v>0</v>
      </c>
      <c r="BQ247" s="40">
        <f>IF(OR(Z246=4,Z246=8,Z246=12,Z246=16,Z246=20),$CA$1,0)</f>
        <v>0</v>
      </c>
      <c r="BR247" s="40">
        <f>IF(OR(AA246=4,AA246=8,AA246=12,AA246=16,AA246=20),$CA$1,0)</f>
        <v>0</v>
      </c>
      <c r="BS247" s="40">
        <f>IF(V243=20,$CB$1,0)</f>
        <v>0</v>
      </c>
      <c r="BT247" s="40">
        <f>IF(W243=20,$CB$1,0)</f>
        <v>0</v>
      </c>
      <c r="BU247" s="40">
        <f>IF(X243=20,$CB$1,0)</f>
        <v>0</v>
      </c>
      <c r="BV247" s="40">
        <f>IF(Y243=20,$CB$1,0)</f>
        <v>0</v>
      </c>
      <c r="BW247" s="40">
        <f>IF(Z243=20,$CB$1,0)</f>
        <v>0</v>
      </c>
      <c r="BX247" s="40">
        <f>IF(AA243=20,$CB$1,0)</f>
        <v>0</v>
      </c>
      <c r="BY247" s="41">
        <f t="shared" si="107"/>
        <v>0</v>
      </c>
      <c r="BZ247" s="41">
        <f t="shared" si="108"/>
        <v>161491.14583333334</v>
      </c>
      <c r="CA247" s="58">
        <f t="shared" si="130"/>
        <v>44802</v>
      </c>
      <c r="CB247" s="47">
        <f t="shared" si="109"/>
        <v>161491.14583333334</v>
      </c>
    </row>
    <row r="248" spans="2:80" ht="15" outlineLevel="1" x14ac:dyDescent="0.2">
      <c r="B248" s="18">
        <f t="shared" si="102"/>
        <v>44809</v>
      </c>
      <c r="C248" s="17" t="s">
        <v>1</v>
      </c>
      <c r="D248" s="19">
        <f t="shared" si="103"/>
        <v>44815</v>
      </c>
      <c r="E248" s="20">
        <f t="shared" si="104"/>
        <v>9</v>
      </c>
      <c r="F248" s="21">
        <f t="shared" si="105"/>
        <v>2022</v>
      </c>
      <c r="G248" s="11">
        <f t="shared" si="132"/>
        <v>22</v>
      </c>
      <c r="H248" s="10">
        <f t="shared" si="132"/>
        <v>66</v>
      </c>
      <c r="I248" s="11"/>
      <c r="J248" s="11"/>
      <c r="K248" s="11"/>
      <c r="L248" s="11"/>
      <c r="M248" s="11"/>
      <c r="N248" s="11"/>
      <c r="O248" s="14"/>
      <c r="P248" s="14"/>
      <c r="Q248" s="14"/>
      <c r="R248" s="14"/>
      <c r="S248" s="14"/>
      <c r="T248" s="14"/>
      <c r="V248" s="22">
        <f t="shared" si="131"/>
        <v>16</v>
      </c>
      <c r="W248" s="22">
        <f t="shared" si="131"/>
        <v>0</v>
      </c>
      <c r="X248" s="22">
        <f t="shared" si="131"/>
        <v>0</v>
      </c>
      <c r="Y248" s="22">
        <f t="shared" si="131"/>
        <v>0</v>
      </c>
      <c r="Z248" s="22">
        <f t="shared" si="131"/>
        <v>0</v>
      </c>
      <c r="AA248" s="22">
        <f t="shared" si="131"/>
        <v>0</v>
      </c>
      <c r="AB248" s="1"/>
      <c r="AC248" s="5">
        <f t="shared" si="112"/>
        <v>0</v>
      </c>
      <c r="AD248" s="5">
        <f t="shared" si="113"/>
        <v>63</v>
      </c>
      <c r="AE248" s="5">
        <f t="shared" si="114"/>
        <v>43</v>
      </c>
      <c r="AF248" s="5">
        <f t="shared" si="115"/>
        <v>0</v>
      </c>
      <c r="AG248" s="5">
        <f t="shared" si="116"/>
        <v>0</v>
      </c>
      <c r="AH248" s="5">
        <f t="shared" si="117"/>
        <v>0</v>
      </c>
      <c r="AI248" s="5">
        <f t="shared" si="118"/>
        <v>0</v>
      </c>
      <c r="AJ248" s="5">
        <f t="shared" si="119"/>
        <v>0</v>
      </c>
      <c r="AK248" s="5">
        <f t="shared" si="120"/>
        <v>0</v>
      </c>
      <c r="AL248" s="5">
        <f t="shared" si="121"/>
        <v>0</v>
      </c>
      <c r="AM248" s="5">
        <f t="shared" si="122"/>
        <v>0</v>
      </c>
      <c r="AN248" s="5">
        <f t="shared" si="123"/>
        <v>0</v>
      </c>
      <c r="AO248" s="5">
        <f t="shared" si="124"/>
        <v>0</v>
      </c>
      <c r="AP248" s="5">
        <f t="shared" si="125"/>
        <v>0</v>
      </c>
      <c r="AQ248" s="5">
        <f t="shared" si="126"/>
        <v>0</v>
      </c>
      <c r="AR248" s="5">
        <f t="shared" si="127"/>
        <v>0</v>
      </c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M248" s="40">
        <f>IF(OR(V247=4,V247=8,V247=12,V247=16,V247=20),$CA$1,0)</f>
        <v>0</v>
      </c>
      <c r="BN248" s="40">
        <f>IF(OR(W247=4,W247=8,W247=12,W247=16,W247=20),$CA$1,0)</f>
        <v>0</v>
      </c>
      <c r="BO248" s="40">
        <f>IF(OR(X247=4,X247=8,X247=12,X247=16,X247=20),$CA$1,0)</f>
        <v>0</v>
      </c>
      <c r="BP248" s="40">
        <f>IF(OR(Y247=4,Y247=8,Y247=12,Y247=16,Y247=20),$CA$1,0)</f>
        <v>0</v>
      </c>
      <c r="BQ248" s="40">
        <f>IF(OR(Z247=4,Z247=8,Z247=12,Z247=16,Z247=20),$CA$1,0)</f>
        <v>0</v>
      </c>
      <c r="BR248" s="40">
        <f>IF(OR(AA247=4,AA247=8,AA247=12,AA247=16,AA247=20),$CA$1,0)</f>
        <v>0</v>
      </c>
      <c r="BS248" s="40">
        <f>IF(V244=20,$CB$1,0)</f>
        <v>0</v>
      </c>
      <c r="BT248" s="40">
        <f>IF(W244=20,$CB$1,0)</f>
        <v>0</v>
      </c>
      <c r="BU248" s="40">
        <f>IF(X244=20,$CB$1,0)</f>
        <v>0</v>
      </c>
      <c r="BV248" s="40">
        <f>IF(Y244=20,$CB$1,0)</f>
        <v>0</v>
      </c>
      <c r="BW248" s="40">
        <f>IF(Z244=20,$CB$1,0)</f>
        <v>0</v>
      </c>
      <c r="BX248" s="40">
        <f>IF(AA244=20,$CB$1,0)</f>
        <v>0</v>
      </c>
      <c r="BY248" s="41">
        <f t="shared" si="107"/>
        <v>0</v>
      </c>
      <c r="BZ248" s="41">
        <f t="shared" si="108"/>
        <v>0</v>
      </c>
      <c r="CA248" s="58">
        <f t="shared" si="130"/>
        <v>44809</v>
      </c>
      <c r="CB248" s="47">
        <f t="shared" si="109"/>
        <v>0</v>
      </c>
    </row>
    <row r="249" spans="2:80" ht="15" outlineLevel="1" x14ac:dyDescent="0.2">
      <c r="B249" s="18">
        <f t="shared" si="102"/>
        <v>44816</v>
      </c>
      <c r="C249" s="17" t="s">
        <v>1</v>
      </c>
      <c r="D249" s="19">
        <f t="shared" si="103"/>
        <v>44822</v>
      </c>
      <c r="E249" s="20">
        <f t="shared" si="104"/>
        <v>9</v>
      </c>
      <c r="F249" s="21">
        <f t="shared" si="105"/>
        <v>2022</v>
      </c>
      <c r="G249" s="11">
        <f t="shared" si="132"/>
        <v>22</v>
      </c>
      <c r="H249" s="10">
        <f t="shared" si="132"/>
        <v>66</v>
      </c>
      <c r="I249" s="11"/>
      <c r="J249" s="11"/>
      <c r="K249" s="11"/>
      <c r="L249" s="11"/>
      <c r="M249" s="11"/>
      <c r="N249" s="11"/>
      <c r="O249" s="14"/>
      <c r="P249" s="14"/>
      <c r="Q249" s="14"/>
      <c r="R249" s="14"/>
      <c r="S249" s="14"/>
      <c r="T249" s="14"/>
      <c r="V249" s="22">
        <f t="shared" si="131"/>
        <v>17</v>
      </c>
      <c r="W249" s="22">
        <f t="shared" si="131"/>
        <v>0</v>
      </c>
      <c r="X249" s="22">
        <f t="shared" si="131"/>
        <v>0</v>
      </c>
      <c r="Y249" s="22">
        <f t="shared" si="131"/>
        <v>0</v>
      </c>
      <c r="Z249" s="22">
        <f t="shared" si="131"/>
        <v>0</v>
      </c>
      <c r="AA249" s="22">
        <f t="shared" si="131"/>
        <v>0</v>
      </c>
      <c r="AB249" s="1"/>
      <c r="AC249" s="5">
        <f t="shared" si="112"/>
        <v>0</v>
      </c>
      <c r="AD249" s="5">
        <f t="shared" si="113"/>
        <v>64</v>
      </c>
      <c r="AE249" s="5">
        <f t="shared" si="114"/>
        <v>44</v>
      </c>
      <c r="AF249" s="5">
        <f t="shared" si="115"/>
        <v>0</v>
      </c>
      <c r="AG249" s="5">
        <f t="shared" si="116"/>
        <v>0</v>
      </c>
      <c r="AH249" s="5">
        <f t="shared" si="117"/>
        <v>0</v>
      </c>
      <c r="AI249" s="5">
        <f t="shared" si="118"/>
        <v>0</v>
      </c>
      <c r="AJ249" s="5">
        <f t="shared" si="119"/>
        <v>0</v>
      </c>
      <c r="AK249" s="5">
        <f t="shared" si="120"/>
        <v>0</v>
      </c>
      <c r="AL249" s="5">
        <f t="shared" si="121"/>
        <v>0</v>
      </c>
      <c r="AM249" s="5">
        <f t="shared" si="122"/>
        <v>0</v>
      </c>
      <c r="AN249" s="5">
        <f t="shared" si="123"/>
        <v>0</v>
      </c>
      <c r="AO249" s="5">
        <f t="shared" si="124"/>
        <v>0</v>
      </c>
      <c r="AP249" s="5">
        <f t="shared" si="125"/>
        <v>0</v>
      </c>
      <c r="AQ249" s="5">
        <f t="shared" si="126"/>
        <v>0</v>
      </c>
      <c r="AR249" s="5">
        <f t="shared" si="127"/>
        <v>0</v>
      </c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M249" s="40">
        <f>IF(OR(V248=4,V248=8,V248=12,V248=16,V248=20),$CA$1,0)</f>
        <v>161491.14583333334</v>
      </c>
      <c r="BN249" s="40">
        <f>IF(OR(W248=4,W248=8,W248=12,W248=16,W248=20),$CA$1,0)</f>
        <v>0</v>
      </c>
      <c r="BO249" s="40">
        <f>IF(OR(X248=4,X248=8,X248=12,X248=16,X248=20),$CA$1,0)</f>
        <v>0</v>
      </c>
      <c r="BP249" s="40">
        <f>IF(OR(Y248=4,Y248=8,Y248=12,Y248=16,Y248=20),$CA$1,0)</f>
        <v>0</v>
      </c>
      <c r="BQ249" s="40">
        <f>IF(OR(Z248=4,Z248=8,Z248=12,Z248=16,Z248=20),$CA$1,0)</f>
        <v>0</v>
      </c>
      <c r="BR249" s="40">
        <f>IF(OR(AA248=4,AA248=8,AA248=12,AA248=16,AA248=20),$CA$1,0)</f>
        <v>0</v>
      </c>
      <c r="BS249" s="40">
        <f>IF(V245=20,$CB$1,0)</f>
        <v>0</v>
      </c>
      <c r="BT249" s="40">
        <f>IF(W245=20,$CB$1,0)</f>
        <v>0</v>
      </c>
      <c r="BU249" s="40">
        <f>IF(X245=20,$CB$1,0)</f>
        <v>0</v>
      </c>
      <c r="BV249" s="40">
        <f>IF(Y245=20,$CB$1,0)</f>
        <v>0</v>
      </c>
      <c r="BW249" s="40">
        <f>IF(Z245=20,$CB$1,0)</f>
        <v>0</v>
      </c>
      <c r="BX249" s="40">
        <f>IF(AA245=20,$CB$1,0)</f>
        <v>0</v>
      </c>
      <c r="BY249" s="41">
        <f t="shared" si="107"/>
        <v>161491.14583333334</v>
      </c>
      <c r="BZ249" s="41">
        <f t="shared" si="108"/>
        <v>161491.14583333334</v>
      </c>
      <c r="CA249" s="58">
        <f t="shared" si="130"/>
        <v>44816</v>
      </c>
      <c r="CB249" s="47">
        <f t="shared" si="109"/>
        <v>0</v>
      </c>
    </row>
    <row r="250" spans="2:80" ht="15" outlineLevel="1" x14ac:dyDescent="0.2">
      <c r="B250" s="18">
        <f t="shared" si="102"/>
        <v>44823</v>
      </c>
      <c r="C250" s="17" t="s">
        <v>1</v>
      </c>
      <c r="D250" s="19">
        <f t="shared" si="103"/>
        <v>44829</v>
      </c>
      <c r="E250" s="20">
        <f t="shared" si="104"/>
        <v>9</v>
      </c>
      <c r="F250" s="21">
        <f t="shared" si="105"/>
        <v>2022</v>
      </c>
      <c r="G250" s="11">
        <f t="shared" si="132"/>
        <v>22</v>
      </c>
      <c r="H250" s="10">
        <f t="shared" si="132"/>
        <v>66</v>
      </c>
      <c r="I250" s="11"/>
      <c r="J250" s="11"/>
      <c r="K250" s="11"/>
      <c r="L250" s="11"/>
      <c r="M250" s="11"/>
      <c r="N250" s="11"/>
      <c r="O250" s="14"/>
      <c r="P250" s="14"/>
      <c r="Q250" s="14"/>
      <c r="R250" s="14"/>
      <c r="S250" s="14"/>
      <c r="T250" s="14"/>
      <c r="V250" s="22">
        <f t="shared" si="131"/>
        <v>18</v>
      </c>
      <c r="W250" s="22">
        <f t="shared" si="131"/>
        <v>0</v>
      </c>
      <c r="X250" s="22">
        <f t="shared" si="131"/>
        <v>0</v>
      </c>
      <c r="Y250" s="22">
        <f t="shared" si="131"/>
        <v>0</v>
      </c>
      <c r="Z250" s="22">
        <f t="shared" si="131"/>
        <v>0</v>
      </c>
      <c r="AA250" s="22">
        <f t="shared" si="131"/>
        <v>0</v>
      </c>
      <c r="AB250" s="1"/>
      <c r="AC250" s="5">
        <f t="shared" si="112"/>
        <v>0</v>
      </c>
      <c r="AD250" s="5">
        <f t="shared" si="113"/>
        <v>65</v>
      </c>
      <c r="AE250" s="5">
        <f t="shared" si="114"/>
        <v>45</v>
      </c>
      <c r="AF250" s="5">
        <f t="shared" si="115"/>
        <v>0</v>
      </c>
      <c r="AG250" s="5">
        <f t="shared" si="116"/>
        <v>0</v>
      </c>
      <c r="AH250" s="5">
        <f t="shared" si="117"/>
        <v>0</v>
      </c>
      <c r="AI250" s="5">
        <f t="shared" si="118"/>
        <v>0</v>
      </c>
      <c r="AJ250" s="5">
        <f t="shared" si="119"/>
        <v>0</v>
      </c>
      <c r="AK250" s="5">
        <f t="shared" si="120"/>
        <v>0</v>
      </c>
      <c r="AL250" s="5">
        <f t="shared" si="121"/>
        <v>0</v>
      </c>
      <c r="AM250" s="5">
        <f t="shared" si="122"/>
        <v>0</v>
      </c>
      <c r="AN250" s="5">
        <f t="shared" si="123"/>
        <v>0</v>
      </c>
      <c r="AO250" s="5">
        <f t="shared" si="124"/>
        <v>0</v>
      </c>
      <c r="AP250" s="5">
        <f t="shared" si="125"/>
        <v>0</v>
      </c>
      <c r="AQ250" s="5">
        <f t="shared" si="126"/>
        <v>0</v>
      </c>
      <c r="AR250" s="5">
        <f t="shared" si="127"/>
        <v>0</v>
      </c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M250" s="40">
        <f>IF(OR(V249=4,V249=8,V249=12,V249=16,V249=20),$CA$1,0)</f>
        <v>0</v>
      </c>
      <c r="BN250" s="40">
        <f>IF(OR(W249=4,W249=8,W249=12,W249=16,W249=20),$CA$1,0)</f>
        <v>0</v>
      </c>
      <c r="BO250" s="40">
        <f>IF(OR(X249=4,X249=8,X249=12,X249=16,X249=20),$CA$1,0)</f>
        <v>0</v>
      </c>
      <c r="BP250" s="40">
        <f>IF(OR(Y249=4,Y249=8,Y249=12,Y249=16,Y249=20),$CA$1,0)</f>
        <v>0</v>
      </c>
      <c r="BQ250" s="40">
        <f>IF(OR(Z249=4,Z249=8,Z249=12,Z249=16,Z249=20),$CA$1,0)</f>
        <v>0</v>
      </c>
      <c r="BR250" s="40">
        <f>IF(OR(AA249=4,AA249=8,AA249=12,AA249=16,AA249=20),$CA$1,0)</f>
        <v>0</v>
      </c>
      <c r="BS250" s="40">
        <f>IF(V246=20,$CB$1,0)</f>
        <v>0</v>
      </c>
      <c r="BT250" s="40">
        <f>IF(W246=20,$CB$1,0)</f>
        <v>0</v>
      </c>
      <c r="BU250" s="40">
        <f>IF(X246=20,$CB$1,0)</f>
        <v>0</v>
      </c>
      <c r="BV250" s="40">
        <f>IF(Y246=20,$CB$1,0)</f>
        <v>0</v>
      </c>
      <c r="BW250" s="40">
        <f>IF(Z246=20,$CB$1,0)</f>
        <v>0</v>
      </c>
      <c r="BX250" s="40">
        <f>IF(AA246=20,$CB$1,0)</f>
        <v>0</v>
      </c>
      <c r="BY250" s="41">
        <f t="shared" si="107"/>
        <v>0</v>
      </c>
      <c r="BZ250" s="41">
        <f t="shared" si="108"/>
        <v>161491.14583333334</v>
      </c>
      <c r="CA250" s="58">
        <f t="shared" si="130"/>
        <v>44823</v>
      </c>
      <c r="CB250" s="47">
        <f t="shared" si="109"/>
        <v>0</v>
      </c>
    </row>
    <row r="251" spans="2:80" ht="15" outlineLevel="1" x14ac:dyDescent="0.2">
      <c r="B251" s="18">
        <f t="shared" si="102"/>
        <v>44830</v>
      </c>
      <c r="C251" s="17" t="s">
        <v>1</v>
      </c>
      <c r="D251" s="19">
        <f t="shared" si="103"/>
        <v>44836</v>
      </c>
      <c r="E251" s="20">
        <f t="shared" si="104"/>
        <v>9</v>
      </c>
      <c r="F251" s="21">
        <f t="shared" si="105"/>
        <v>2022</v>
      </c>
      <c r="G251" s="11">
        <f t="shared" si="132"/>
        <v>22</v>
      </c>
      <c r="H251" s="10">
        <f t="shared" si="132"/>
        <v>66</v>
      </c>
      <c r="I251" s="11"/>
      <c r="J251" s="11"/>
      <c r="K251" s="11"/>
      <c r="L251" s="11"/>
      <c r="M251" s="11"/>
      <c r="N251" s="11"/>
      <c r="O251" s="14"/>
      <c r="P251" s="14"/>
      <c r="Q251" s="14"/>
      <c r="R251" s="14"/>
      <c r="S251" s="14"/>
      <c r="T251" s="14"/>
      <c r="V251" s="22">
        <f t="shared" si="131"/>
        <v>19</v>
      </c>
      <c r="W251" s="22">
        <f t="shared" si="131"/>
        <v>0</v>
      </c>
      <c r="X251" s="22">
        <f t="shared" si="131"/>
        <v>0</v>
      </c>
      <c r="Y251" s="22">
        <f t="shared" si="131"/>
        <v>0</v>
      </c>
      <c r="Z251" s="22">
        <f t="shared" si="131"/>
        <v>0</v>
      </c>
      <c r="AA251" s="22">
        <f t="shared" si="131"/>
        <v>0</v>
      </c>
      <c r="AB251" s="1"/>
      <c r="AC251" s="5">
        <f t="shared" si="112"/>
        <v>0</v>
      </c>
      <c r="AD251" s="5">
        <f t="shared" si="113"/>
        <v>66</v>
      </c>
      <c r="AE251" s="5">
        <f t="shared" si="114"/>
        <v>46</v>
      </c>
      <c r="AF251" s="5">
        <f t="shared" si="115"/>
        <v>0</v>
      </c>
      <c r="AG251" s="5">
        <f t="shared" si="116"/>
        <v>0</v>
      </c>
      <c r="AH251" s="5">
        <f t="shared" si="117"/>
        <v>0</v>
      </c>
      <c r="AI251" s="5">
        <f t="shared" si="118"/>
        <v>0</v>
      </c>
      <c r="AJ251" s="5">
        <f t="shared" si="119"/>
        <v>0</v>
      </c>
      <c r="AK251" s="5">
        <f t="shared" si="120"/>
        <v>0</v>
      </c>
      <c r="AL251" s="5">
        <f t="shared" si="121"/>
        <v>0</v>
      </c>
      <c r="AM251" s="5">
        <f t="shared" si="122"/>
        <v>0</v>
      </c>
      <c r="AN251" s="5">
        <f t="shared" si="123"/>
        <v>0</v>
      </c>
      <c r="AO251" s="5">
        <f t="shared" si="124"/>
        <v>0</v>
      </c>
      <c r="AP251" s="5">
        <f t="shared" si="125"/>
        <v>0</v>
      </c>
      <c r="AQ251" s="5">
        <f t="shared" si="126"/>
        <v>0</v>
      </c>
      <c r="AR251" s="5">
        <f t="shared" si="127"/>
        <v>0</v>
      </c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M251" s="40">
        <f>IF(OR(V250=4,V250=8,V250=12,V250=16,V250=20),$CA$1,0)</f>
        <v>0</v>
      </c>
      <c r="BN251" s="40">
        <f>IF(OR(W250=4,W250=8,W250=12,W250=16,W250=20),$CA$1,0)</f>
        <v>0</v>
      </c>
      <c r="BO251" s="40">
        <f>IF(OR(X250=4,X250=8,X250=12,X250=16,X250=20),$CA$1,0)</f>
        <v>0</v>
      </c>
      <c r="BP251" s="40">
        <f>IF(OR(Y250=4,Y250=8,Y250=12,Y250=16,Y250=20),$CA$1,0)</f>
        <v>0</v>
      </c>
      <c r="BQ251" s="40">
        <f>IF(OR(Z250=4,Z250=8,Z250=12,Z250=16,Z250=20),$CA$1,0)</f>
        <v>0</v>
      </c>
      <c r="BR251" s="40">
        <f>IF(OR(AA250=4,AA250=8,AA250=12,AA250=16,AA250=20),$CA$1,0)</f>
        <v>0</v>
      </c>
      <c r="BS251" s="40">
        <f>IF(V247=20,$CB$1,0)</f>
        <v>0</v>
      </c>
      <c r="BT251" s="40">
        <f>IF(W247=20,$CB$1,0)</f>
        <v>0</v>
      </c>
      <c r="BU251" s="40">
        <f>IF(X247=20,$CB$1,0)</f>
        <v>0</v>
      </c>
      <c r="BV251" s="40">
        <f>IF(Y247=20,$CB$1,0)</f>
        <v>0</v>
      </c>
      <c r="BW251" s="40">
        <f>IF(Z247=20,$CB$1,0)</f>
        <v>0</v>
      </c>
      <c r="BX251" s="40">
        <f>IF(AA247=20,$CB$1,0)</f>
        <v>0</v>
      </c>
      <c r="BY251" s="41">
        <f t="shared" si="107"/>
        <v>0</v>
      </c>
      <c r="BZ251" s="41">
        <f t="shared" si="108"/>
        <v>161491.14583333334</v>
      </c>
      <c r="CA251" s="58">
        <f t="shared" si="130"/>
        <v>44830</v>
      </c>
      <c r="CB251" s="47">
        <f t="shared" si="109"/>
        <v>161491.14583333334</v>
      </c>
    </row>
    <row r="252" spans="2:80" ht="15" outlineLevel="1" x14ac:dyDescent="0.2">
      <c r="B252" s="18">
        <f t="shared" si="102"/>
        <v>44837</v>
      </c>
      <c r="C252" s="17" t="s">
        <v>1</v>
      </c>
      <c r="D252" s="19">
        <f t="shared" si="103"/>
        <v>44843</v>
      </c>
      <c r="E252" s="20">
        <f t="shared" si="104"/>
        <v>10</v>
      </c>
      <c r="F252" s="21">
        <f t="shared" si="105"/>
        <v>2022</v>
      </c>
      <c r="G252" s="11">
        <f t="shared" si="132"/>
        <v>22</v>
      </c>
      <c r="H252" s="10">
        <f t="shared" si="132"/>
        <v>66</v>
      </c>
      <c r="I252" s="11"/>
      <c r="J252" s="11"/>
      <c r="K252" s="11"/>
      <c r="L252" s="11"/>
      <c r="M252" s="11"/>
      <c r="N252" s="11"/>
      <c r="O252" s="14"/>
      <c r="P252" s="14"/>
      <c r="Q252" s="14"/>
      <c r="R252" s="14"/>
      <c r="S252" s="14"/>
      <c r="T252" s="14"/>
      <c r="V252" s="22">
        <f t="shared" si="131"/>
        <v>20</v>
      </c>
      <c r="W252" s="22">
        <f t="shared" si="131"/>
        <v>0</v>
      </c>
      <c r="X252" s="22">
        <f t="shared" si="131"/>
        <v>0</v>
      </c>
      <c r="Y252" s="22">
        <f t="shared" si="131"/>
        <v>0</v>
      </c>
      <c r="Z252" s="22">
        <f t="shared" si="131"/>
        <v>0</v>
      </c>
      <c r="AA252" s="22">
        <f t="shared" si="131"/>
        <v>0</v>
      </c>
      <c r="AB252" s="1"/>
      <c r="AC252" s="5">
        <f t="shared" si="112"/>
        <v>0</v>
      </c>
      <c r="AD252" s="5">
        <f t="shared" si="113"/>
        <v>0</v>
      </c>
      <c r="AE252" s="5">
        <f t="shared" si="114"/>
        <v>47</v>
      </c>
      <c r="AF252" s="5">
        <f t="shared" si="115"/>
        <v>0</v>
      </c>
      <c r="AG252" s="5">
        <f t="shared" si="116"/>
        <v>0</v>
      </c>
      <c r="AH252" s="5">
        <f t="shared" si="117"/>
        <v>0</v>
      </c>
      <c r="AI252" s="5">
        <f t="shared" si="118"/>
        <v>0</v>
      </c>
      <c r="AJ252" s="5">
        <f t="shared" si="119"/>
        <v>0</v>
      </c>
      <c r="AK252" s="5">
        <f t="shared" si="120"/>
        <v>0</v>
      </c>
      <c r="AL252" s="5">
        <f t="shared" si="121"/>
        <v>0</v>
      </c>
      <c r="AM252" s="5">
        <f t="shared" si="122"/>
        <v>0</v>
      </c>
      <c r="AN252" s="5">
        <f t="shared" si="123"/>
        <v>0</v>
      </c>
      <c r="AO252" s="5">
        <f t="shared" si="124"/>
        <v>0</v>
      </c>
      <c r="AP252" s="5">
        <f t="shared" si="125"/>
        <v>0</v>
      </c>
      <c r="AQ252" s="5">
        <f t="shared" si="126"/>
        <v>0</v>
      </c>
      <c r="AR252" s="5">
        <f t="shared" si="127"/>
        <v>0</v>
      </c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M252" s="40">
        <f>IF(OR(V251=4,V251=8,V251=12,V251=16,V251=20),$CA$1,0)</f>
        <v>0</v>
      </c>
      <c r="BN252" s="40">
        <f>IF(OR(W251=4,W251=8,W251=12,W251=16,W251=20),$CA$1,0)</f>
        <v>0</v>
      </c>
      <c r="BO252" s="40">
        <f>IF(OR(X251=4,X251=8,X251=12,X251=16,X251=20),$CA$1,0)</f>
        <v>0</v>
      </c>
      <c r="BP252" s="40">
        <f>IF(OR(Y251=4,Y251=8,Y251=12,Y251=16,Y251=20),$CA$1,0)</f>
        <v>0</v>
      </c>
      <c r="BQ252" s="40">
        <f>IF(OR(Z251=4,Z251=8,Z251=12,Z251=16,Z251=20),$CA$1,0)</f>
        <v>0</v>
      </c>
      <c r="BR252" s="40">
        <f>IF(OR(AA251=4,AA251=8,AA251=12,AA251=16,AA251=20),$CA$1,0)</f>
        <v>0</v>
      </c>
      <c r="BS252" s="40">
        <f>IF(V248=20,$CB$1,0)</f>
        <v>0</v>
      </c>
      <c r="BT252" s="40">
        <f>IF(W248=20,$CB$1,0)</f>
        <v>0</v>
      </c>
      <c r="BU252" s="40">
        <f>IF(X248=20,$CB$1,0)</f>
        <v>0</v>
      </c>
      <c r="BV252" s="40">
        <f>IF(Y248=20,$CB$1,0)</f>
        <v>0</v>
      </c>
      <c r="BW252" s="40">
        <f>IF(Z248=20,$CB$1,0)</f>
        <v>0</v>
      </c>
      <c r="BX252" s="40">
        <f>IF(AA248=20,$CB$1,0)</f>
        <v>0</v>
      </c>
      <c r="BY252" s="41">
        <f t="shared" si="107"/>
        <v>0</v>
      </c>
      <c r="BZ252" s="41">
        <f t="shared" si="108"/>
        <v>0</v>
      </c>
      <c r="CA252" s="58">
        <f t="shared" si="130"/>
        <v>44837</v>
      </c>
      <c r="CB252" s="47">
        <f t="shared" si="109"/>
        <v>0</v>
      </c>
    </row>
    <row r="253" spans="2:80" ht="15" outlineLevel="1" x14ac:dyDescent="0.2">
      <c r="B253" s="18">
        <f t="shared" si="102"/>
        <v>44844</v>
      </c>
      <c r="C253" s="17" t="s">
        <v>1</v>
      </c>
      <c r="D253" s="19">
        <f t="shared" si="103"/>
        <v>44850</v>
      </c>
      <c r="E253" s="20">
        <f t="shared" si="104"/>
        <v>10</v>
      </c>
      <c r="F253" s="21">
        <f t="shared" si="105"/>
        <v>2022</v>
      </c>
      <c r="G253" s="11">
        <f t="shared" si="132"/>
        <v>22</v>
      </c>
      <c r="H253" s="10">
        <f t="shared" si="132"/>
        <v>66</v>
      </c>
      <c r="I253" s="11"/>
      <c r="J253" s="11"/>
      <c r="K253" s="11"/>
      <c r="L253" s="11"/>
      <c r="M253" s="11"/>
      <c r="N253" s="11"/>
      <c r="O253" s="14"/>
      <c r="P253" s="14"/>
      <c r="Q253" s="14"/>
      <c r="R253" s="14"/>
      <c r="S253" s="14"/>
      <c r="T253" s="14"/>
      <c r="V253" s="22">
        <f t="shared" si="131"/>
        <v>21</v>
      </c>
      <c r="W253" s="22">
        <f t="shared" si="131"/>
        <v>0</v>
      </c>
      <c r="X253" s="22">
        <f t="shared" si="131"/>
        <v>0</v>
      </c>
      <c r="Y253" s="22">
        <f t="shared" si="131"/>
        <v>0</v>
      </c>
      <c r="Z253" s="22">
        <f t="shared" si="131"/>
        <v>0</v>
      </c>
      <c r="AA253" s="22">
        <f t="shared" si="131"/>
        <v>0</v>
      </c>
      <c r="AB253" s="1"/>
      <c r="AC253" s="5">
        <f t="shared" si="112"/>
        <v>0</v>
      </c>
      <c r="AD253" s="5">
        <f t="shared" si="113"/>
        <v>0</v>
      </c>
      <c r="AE253" s="5">
        <f t="shared" si="114"/>
        <v>48</v>
      </c>
      <c r="AF253" s="5">
        <f t="shared" si="115"/>
        <v>0</v>
      </c>
      <c r="AG253" s="5">
        <f t="shared" si="116"/>
        <v>0</v>
      </c>
      <c r="AH253" s="5">
        <f t="shared" si="117"/>
        <v>0</v>
      </c>
      <c r="AI253" s="5">
        <f t="shared" si="118"/>
        <v>0</v>
      </c>
      <c r="AJ253" s="5">
        <f t="shared" si="119"/>
        <v>0</v>
      </c>
      <c r="AK253" s="5">
        <f t="shared" si="120"/>
        <v>0</v>
      </c>
      <c r="AL253" s="5">
        <f t="shared" si="121"/>
        <v>0</v>
      </c>
      <c r="AM253" s="5">
        <f t="shared" si="122"/>
        <v>0</v>
      </c>
      <c r="AN253" s="5">
        <f t="shared" si="123"/>
        <v>0</v>
      </c>
      <c r="AO253" s="5">
        <f t="shared" si="124"/>
        <v>0</v>
      </c>
      <c r="AP253" s="5">
        <f t="shared" si="125"/>
        <v>0</v>
      </c>
      <c r="AQ253" s="5">
        <f t="shared" si="126"/>
        <v>0</v>
      </c>
      <c r="AR253" s="5">
        <f t="shared" si="127"/>
        <v>0</v>
      </c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M253" s="40">
        <f>IF(OR(V252=4,V252=8,V252=12,V252=16,V252=20),$CA$1,0)</f>
        <v>161491.14583333334</v>
      </c>
      <c r="BN253" s="40">
        <f>IF(OR(W252=4,W252=8,W252=12,W252=16,W252=20),$CA$1,0)</f>
        <v>0</v>
      </c>
      <c r="BO253" s="40">
        <f>IF(OR(X252=4,X252=8,X252=12,X252=16,X252=20),$CA$1,0)</f>
        <v>0</v>
      </c>
      <c r="BP253" s="40">
        <f>IF(OR(Y252=4,Y252=8,Y252=12,Y252=16,Y252=20),$CA$1,0)</f>
        <v>0</v>
      </c>
      <c r="BQ253" s="40">
        <f>IF(OR(Z252=4,Z252=8,Z252=12,Z252=16,Z252=20),$CA$1,0)</f>
        <v>0</v>
      </c>
      <c r="BR253" s="40">
        <f>IF(OR(AA252=4,AA252=8,AA252=12,AA252=16,AA252=20),$CA$1,0)</f>
        <v>0</v>
      </c>
      <c r="BS253" s="40">
        <f>IF(V249=20,$CB$1,0)</f>
        <v>0</v>
      </c>
      <c r="BT253" s="40">
        <f>IF(W249=20,$CB$1,0)</f>
        <v>0</v>
      </c>
      <c r="BU253" s="40">
        <f>IF(X249=20,$CB$1,0)</f>
        <v>0</v>
      </c>
      <c r="BV253" s="40">
        <f>IF(Y249=20,$CB$1,0)</f>
        <v>0</v>
      </c>
      <c r="BW253" s="40">
        <f>IF(Z249=20,$CB$1,0)</f>
        <v>0</v>
      </c>
      <c r="BX253" s="40">
        <f>IF(AA249=20,$CB$1,0)</f>
        <v>0</v>
      </c>
      <c r="BY253" s="41">
        <f t="shared" si="107"/>
        <v>161491.14583333334</v>
      </c>
      <c r="BZ253" s="41">
        <f t="shared" si="108"/>
        <v>161491.14583333334</v>
      </c>
      <c r="CA253" s="58">
        <f t="shared" si="130"/>
        <v>44844</v>
      </c>
      <c r="CB253" s="47">
        <f t="shared" si="109"/>
        <v>0</v>
      </c>
    </row>
    <row r="254" spans="2:80" ht="15" outlineLevel="1" x14ac:dyDescent="0.2">
      <c r="B254" s="18">
        <f t="shared" si="102"/>
        <v>44851</v>
      </c>
      <c r="C254" s="17" t="s">
        <v>1</v>
      </c>
      <c r="D254" s="19">
        <f t="shared" si="103"/>
        <v>44857</v>
      </c>
      <c r="E254" s="20">
        <f t="shared" si="104"/>
        <v>10</v>
      </c>
      <c r="F254" s="21">
        <f t="shared" si="105"/>
        <v>2022</v>
      </c>
      <c r="G254" s="11">
        <f t="shared" si="132"/>
        <v>22</v>
      </c>
      <c r="H254" s="10">
        <f t="shared" si="132"/>
        <v>66</v>
      </c>
      <c r="I254" s="11"/>
      <c r="J254" s="11"/>
      <c r="K254" s="11"/>
      <c r="L254" s="11"/>
      <c r="M254" s="11"/>
      <c r="N254" s="11"/>
      <c r="O254" s="14"/>
      <c r="P254" s="14"/>
      <c r="Q254" s="14"/>
      <c r="R254" s="14"/>
      <c r="S254" s="14"/>
      <c r="T254" s="14"/>
      <c r="V254" s="22">
        <f t="shared" si="131"/>
        <v>22</v>
      </c>
      <c r="W254" s="22">
        <f t="shared" si="131"/>
        <v>0</v>
      </c>
      <c r="X254" s="22">
        <f t="shared" si="131"/>
        <v>0</v>
      </c>
      <c r="Y254" s="22">
        <f t="shared" si="131"/>
        <v>0</v>
      </c>
      <c r="Z254" s="22">
        <f t="shared" si="131"/>
        <v>0</v>
      </c>
      <c r="AA254" s="22">
        <f t="shared" si="131"/>
        <v>0</v>
      </c>
      <c r="AB254" s="1"/>
      <c r="AC254" s="5">
        <f t="shared" si="112"/>
        <v>22</v>
      </c>
      <c r="AD254" s="5">
        <f t="shared" si="113"/>
        <v>0</v>
      </c>
      <c r="AE254" s="5">
        <f t="shared" si="114"/>
        <v>49</v>
      </c>
      <c r="AF254" s="5">
        <f t="shared" si="115"/>
        <v>0</v>
      </c>
      <c r="AG254" s="5">
        <f t="shared" si="116"/>
        <v>0</v>
      </c>
      <c r="AH254" s="5">
        <f t="shared" si="117"/>
        <v>0</v>
      </c>
      <c r="AI254" s="5">
        <f t="shared" si="118"/>
        <v>0</v>
      </c>
      <c r="AJ254" s="5">
        <f t="shared" si="119"/>
        <v>0</v>
      </c>
      <c r="AK254" s="5">
        <f t="shared" si="120"/>
        <v>0</v>
      </c>
      <c r="AL254" s="5">
        <f t="shared" si="121"/>
        <v>0</v>
      </c>
      <c r="AM254" s="5">
        <f t="shared" si="122"/>
        <v>0</v>
      </c>
      <c r="AN254" s="5">
        <f t="shared" si="123"/>
        <v>0</v>
      </c>
      <c r="AO254" s="5">
        <f t="shared" si="124"/>
        <v>0</v>
      </c>
      <c r="AP254" s="5">
        <f t="shared" si="125"/>
        <v>0</v>
      </c>
      <c r="AQ254" s="5">
        <f t="shared" si="126"/>
        <v>0</v>
      </c>
      <c r="AR254" s="5">
        <f t="shared" si="127"/>
        <v>0</v>
      </c>
      <c r="AS254" s="10">
        <v>1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M254" s="40">
        <f>IF(OR(V253=4,V253=8,V253=12,V253=16,V253=20),$CA$1,0)</f>
        <v>0</v>
      </c>
      <c r="BN254" s="40">
        <f>IF(OR(W253=4,W253=8,W253=12,W253=16,W253=20),$CA$1,0)</f>
        <v>0</v>
      </c>
      <c r="BO254" s="40">
        <f>IF(OR(X253=4,X253=8,X253=12,X253=16,X253=20),$CA$1,0)</f>
        <v>0</v>
      </c>
      <c r="BP254" s="40">
        <f>IF(OR(Y253=4,Y253=8,Y253=12,Y253=16,Y253=20),$CA$1,0)</f>
        <v>0</v>
      </c>
      <c r="BQ254" s="40">
        <f>IF(OR(Z253=4,Z253=8,Z253=12,Z253=16,Z253=20),$CA$1,0)</f>
        <v>0</v>
      </c>
      <c r="BR254" s="40">
        <f>IF(OR(AA253=4,AA253=8,AA253=12,AA253=16,AA253=20),$CA$1,0)</f>
        <v>0</v>
      </c>
      <c r="BS254" s="40">
        <f>IF(V250=20,$CB$1,0)</f>
        <v>0</v>
      </c>
      <c r="BT254" s="40">
        <f>IF(W250=20,$CB$1,0)</f>
        <v>0</v>
      </c>
      <c r="BU254" s="40">
        <f>IF(X250=20,$CB$1,0)</f>
        <v>0</v>
      </c>
      <c r="BV254" s="40">
        <f>IF(Y250=20,$CB$1,0)</f>
        <v>0</v>
      </c>
      <c r="BW254" s="40">
        <f>IF(Z250=20,$CB$1,0)</f>
        <v>0</v>
      </c>
      <c r="BX254" s="40">
        <f>IF(AA250=20,$CB$1,0)</f>
        <v>0</v>
      </c>
      <c r="BY254" s="41">
        <f t="shared" si="107"/>
        <v>0</v>
      </c>
      <c r="BZ254" s="41">
        <f t="shared" si="108"/>
        <v>161491.14583333334</v>
      </c>
      <c r="CA254" s="58">
        <f t="shared" si="130"/>
        <v>44851</v>
      </c>
      <c r="CB254" s="47">
        <f t="shared" si="109"/>
        <v>0</v>
      </c>
    </row>
    <row r="255" spans="2:80" ht="15" outlineLevel="1" x14ac:dyDescent="0.2">
      <c r="B255" s="18">
        <f t="shared" si="102"/>
        <v>44858</v>
      </c>
      <c r="C255" s="17" t="s">
        <v>1</v>
      </c>
      <c r="D255" s="19">
        <f t="shared" si="103"/>
        <v>44864</v>
      </c>
      <c r="E255" s="20">
        <f t="shared" si="104"/>
        <v>10</v>
      </c>
      <c r="F255" s="21">
        <f t="shared" si="105"/>
        <v>2022</v>
      </c>
      <c r="G255" s="11">
        <f t="shared" si="132"/>
        <v>22</v>
      </c>
      <c r="H255" s="10">
        <f t="shared" si="132"/>
        <v>66</v>
      </c>
      <c r="I255" s="11"/>
      <c r="J255" s="11"/>
      <c r="K255" s="11"/>
      <c r="L255" s="11"/>
      <c r="M255" s="11"/>
      <c r="N255" s="11"/>
      <c r="O255" s="14"/>
      <c r="P255" s="14"/>
      <c r="Q255" s="14"/>
      <c r="R255" s="14"/>
      <c r="S255" s="14"/>
      <c r="T255" s="14"/>
      <c r="V255" s="22">
        <f t="shared" si="131"/>
        <v>0</v>
      </c>
      <c r="W255" s="22">
        <f t="shared" si="131"/>
        <v>0</v>
      </c>
      <c r="X255" s="22">
        <f t="shared" si="131"/>
        <v>0</v>
      </c>
      <c r="Y255" s="22">
        <f t="shared" si="131"/>
        <v>0</v>
      </c>
      <c r="Z255" s="22">
        <f t="shared" si="131"/>
        <v>0</v>
      </c>
      <c r="AA255" s="22">
        <f t="shared" si="131"/>
        <v>0</v>
      </c>
      <c r="AB255" s="1"/>
      <c r="AC255" s="5">
        <f t="shared" si="112"/>
        <v>23</v>
      </c>
      <c r="AD255" s="5">
        <f t="shared" si="113"/>
        <v>0</v>
      </c>
      <c r="AE255" s="5">
        <f t="shared" si="114"/>
        <v>50</v>
      </c>
      <c r="AF255" s="5">
        <f t="shared" si="115"/>
        <v>0</v>
      </c>
      <c r="AG255" s="5">
        <f t="shared" si="116"/>
        <v>0</v>
      </c>
      <c r="AH255" s="5">
        <f t="shared" si="117"/>
        <v>0</v>
      </c>
      <c r="AI255" s="5">
        <f t="shared" si="118"/>
        <v>0</v>
      </c>
      <c r="AJ255" s="5">
        <f t="shared" si="119"/>
        <v>0</v>
      </c>
      <c r="AK255" s="5">
        <f t="shared" si="120"/>
        <v>0</v>
      </c>
      <c r="AL255" s="5">
        <f t="shared" si="121"/>
        <v>0</v>
      </c>
      <c r="AM255" s="5">
        <f t="shared" si="122"/>
        <v>0</v>
      </c>
      <c r="AN255" s="5">
        <f t="shared" si="123"/>
        <v>0</v>
      </c>
      <c r="AO255" s="5">
        <f t="shared" si="124"/>
        <v>0</v>
      </c>
      <c r="AP255" s="5">
        <f t="shared" si="125"/>
        <v>0</v>
      </c>
      <c r="AQ255" s="5">
        <f t="shared" si="126"/>
        <v>0</v>
      </c>
      <c r="AR255" s="5">
        <f t="shared" si="127"/>
        <v>0</v>
      </c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M255" s="40">
        <f>IF(OR(V254=4,V254=8,V254=12,V254=16,V254=20),$CA$1,0)</f>
        <v>0</v>
      </c>
      <c r="BN255" s="40">
        <f>IF(OR(W254=4,W254=8,W254=12,W254=16,W254=20),$CA$1,0)</f>
        <v>0</v>
      </c>
      <c r="BO255" s="40">
        <f>IF(OR(X254=4,X254=8,X254=12,X254=16,X254=20),$CA$1,0)</f>
        <v>0</v>
      </c>
      <c r="BP255" s="40">
        <f>IF(OR(Y254=4,Y254=8,Y254=12,Y254=16,Y254=20),$CA$1,0)</f>
        <v>0</v>
      </c>
      <c r="BQ255" s="40">
        <f>IF(OR(Z254=4,Z254=8,Z254=12,Z254=16,Z254=20),$CA$1,0)</f>
        <v>0</v>
      </c>
      <c r="BR255" s="40">
        <f>IF(OR(AA254=4,AA254=8,AA254=12,AA254=16,AA254=20),$CA$1,0)</f>
        <v>0</v>
      </c>
      <c r="BS255" s="40">
        <f>IF(V251=20,$CB$1,0)</f>
        <v>0</v>
      </c>
      <c r="BT255" s="40">
        <f>IF(W251=20,$CB$1,0)</f>
        <v>0</v>
      </c>
      <c r="BU255" s="40">
        <f>IF(X251=20,$CB$1,0)</f>
        <v>0</v>
      </c>
      <c r="BV255" s="40">
        <f>IF(Y251=20,$CB$1,0)</f>
        <v>0</v>
      </c>
      <c r="BW255" s="40">
        <f>IF(Z251=20,$CB$1,0)</f>
        <v>0</v>
      </c>
      <c r="BX255" s="40">
        <f>IF(AA251=20,$CB$1,0)</f>
        <v>0</v>
      </c>
      <c r="BY255" s="41">
        <f t="shared" si="107"/>
        <v>0</v>
      </c>
      <c r="BZ255" s="41">
        <f t="shared" si="108"/>
        <v>161491.14583333334</v>
      </c>
      <c r="CA255" s="58">
        <f t="shared" si="130"/>
        <v>44858</v>
      </c>
      <c r="CB255" s="47">
        <f t="shared" si="109"/>
        <v>0</v>
      </c>
    </row>
    <row r="256" spans="2:80" ht="15" outlineLevel="1" x14ac:dyDescent="0.2">
      <c r="B256" s="18">
        <f t="shared" si="102"/>
        <v>44865</v>
      </c>
      <c r="C256" s="17" t="s">
        <v>1</v>
      </c>
      <c r="D256" s="19">
        <f t="shared" si="103"/>
        <v>44871</v>
      </c>
      <c r="E256" s="20">
        <f t="shared" si="104"/>
        <v>10</v>
      </c>
      <c r="F256" s="21">
        <f t="shared" si="105"/>
        <v>2022</v>
      </c>
      <c r="G256" s="11">
        <f t="shared" si="132"/>
        <v>22</v>
      </c>
      <c r="H256" s="10">
        <f t="shared" si="132"/>
        <v>66</v>
      </c>
      <c r="I256" s="11"/>
      <c r="J256" s="11"/>
      <c r="K256" s="11"/>
      <c r="L256" s="11"/>
      <c r="M256" s="11"/>
      <c r="N256" s="11"/>
      <c r="O256" s="14"/>
      <c r="P256" s="14"/>
      <c r="Q256" s="14"/>
      <c r="R256" s="14"/>
      <c r="S256" s="14"/>
      <c r="T256" s="14"/>
      <c r="V256" s="22">
        <f t="shared" si="131"/>
        <v>0</v>
      </c>
      <c r="W256" s="22">
        <f t="shared" si="131"/>
        <v>0</v>
      </c>
      <c r="X256" s="22">
        <f t="shared" si="131"/>
        <v>0</v>
      </c>
      <c r="Y256" s="22">
        <f t="shared" si="131"/>
        <v>0</v>
      </c>
      <c r="Z256" s="22">
        <f t="shared" si="131"/>
        <v>0</v>
      </c>
      <c r="AA256" s="22">
        <f t="shared" si="131"/>
        <v>0</v>
      </c>
      <c r="AB256" s="1"/>
      <c r="AC256" s="5">
        <f t="shared" si="112"/>
        <v>24</v>
      </c>
      <c r="AD256" s="5">
        <f t="shared" si="113"/>
        <v>0</v>
      </c>
      <c r="AE256" s="5">
        <f t="shared" si="114"/>
        <v>51</v>
      </c>
      <c r="AF256" s="5">
        <f t="shared" si="115"/>
        <v>0</v>
      </c>
      <c r="AG256" s="5">
        <f t="shared" si="116"/>
        <v>0</v>
      </c>
      <c r="AH256" s="5">
        <f t="shared" si="117"/>
        <v>0</v>
      </c>
      <c r="AI256" s="5">
        <f t="shared" si="118"/>
        <v>0</v>
      </c>
      <c r="AJ256" s="5">
        <f t="shared" si="119"/>
        <v>0</v>
      </c>
      <c r="AK256" s="5">
        <f t="shared" si="120"/>
        <v>0</v>
      </c>
      <c r="AL256" s="5">
        <f t="shared" si="121"/>
        <v>0</v>
      </c>
      <c r="AM256" s="5">
        <f t="shared" si="122"/>
        <v>0</v>
      </c>
      <c r="AN256" s="5">
        <f t="shared" si="123"/>
        <v>0</v>
      </c>
      <c r="AO256" s="5">
        <f t="shared" si="124"/>
        <v>0</v>
      </c>
      <c r="AP256" s="5">
        <f t="shared" si="125"/>
        <v>0</v>
      </c>
      <c r="AQ256" s="5">
        <f t="shared" si="126"/>
        <v>0</v>
      </c>
      <c r="AR256" s="5">
        <f t="shared" si="127"/>
        <v>0</v>
      </c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M256" s="40">
        <f>IF(OR(V255=4,V255=8,V255=12,V255=16,V255=20),$CA$1,0)</f>
        <v>0</v>
      </c>
      <c r="BN256" s="40">
        <f>IF(OR(W255=4,W255=8,W255=12,W255=16,W255=20),$CA$1,0)</f>
        <v>0</v>
      </c>
      <c r="BO256" s="40">
        <f>IF(OR(X255=4,X255=8,X255=12,X255=16,X255=20),$CA$1,0)</f>
        <v>0</v>
      </c>
      <c r="BP256" s="40">
        <f>IF(OR(Y255=4,Y255=8,Y255=12,Y255=16,Y255=20),$CA$1,0)</f>
        <v>0</v>
      </c>
      <c r="BQ256" s="40">
        <f>IF(OR(Z255=4,Z255=8,Z255=12,Z255=16,Z255=20),$CA$1,0)</f>
        <v>0</v>
      </c>
      <c r="BR256" s="40">
        <f>IF(OR(AA255=4,AA255=8,AA255=12,AA255=16,AA255=20),$CA$1,0)</f>
        <v>0</v>
      </c>
      <c r="BS256" s="40">
        <f>IF(V252=20,$CB$1,0)</f>
        <v>651525.49583333335</v>
      </c>
      <c r="BT256" s="40">
        <f>IF(W252=20,$CB$1,0)</f>
        <v>0</v>
      </c>
      <c r="BU256" s="40">
        <f>IF(X252=20,$CB$1,0)</f>
        <v>0</v>
      </c>
      <c r="BV256" s="40">
        <f>IF(Y252=20,$CB$1,0)</f>
        <v>0</v>
      </c>
      <c r="BW256" s="40">
        <f>IF(Z252=20,$CB$1,0)</f>
        <v>0</v>
      </c>
      <c r="BX256" s="40">
        <f>IF(AA252=20,$CB$1,0)</f>
        <v>0</v>
      </c>
      <c r="BY256" s="41">
        <f t="shared" si="107"/>
        <v>651525.49583333335</v>
      </c>
      <c r="BZ256" s="41">
        <f t="shared" si="108"/>
        <v>813016.64166666672</v>
      </c>
      <c r="CA256" s="58">
        <f t="shared" si="130"/>
        <v>44865</v>
      </c>
      <c r="CB256" s="47">
        <f t="shared" si="109"/>
        <v>813016.64166666672</v>
      </c>
    </row>
    <row r="257" spans="2:80" ht="15" outlineLevel="1" x14ac:dyDescent="0.2">
      <c r="B257" s="18">
        <f t="shared" si="102"/>
        <v>44872</v>
      </c>
      <c r="C257" s="17" t="s">
        <v>1</v>
      </c>
      <c r="D257" s="19">
        <f t="shared" si="103"/>
        <v>44878</v>
      </c>
      <c r="E257" s="20">
        <f t="shared" si="104"/>
        <v>11</v>
      </c>
      <c r="F257" s="21">
        <f t="shared" si="105"/>
        <v>2022</v>
      </c>
      <c r="G257" s="11">
        <f t="shared" si="132"/>
        <v>22</v>
      </c>
      <c r="H257" s="10">
        <f t="shared" si="132"/>
        <v>66</v>
      </c>
      <c r="I257" s="11"/>
      <c r="J257" s="11"/>
      <c r="K257" s="11"/>
      <c r="L257" s="11"/>
      <c r="M257" s="11"/>
      <c r="N257" s="11"/>
      <c r="O257" s="14"/>
      <c r="P257" s="14"/>
      <c r="Q257" s="14"/>
      <c r="R257" s="14"/>
      <c r="S257" s="14"/>
      <c r="T257" s="14"/>
      <c r="V257" s="22">
        <f t="shared" si="131"/>
        <v>0</v>
      </c>
      <c r="W257" s="22">
        <f t="shared" si="131"/>
        <v>0</v>
      </c>
      <c r="X257" s="22">
        <f t="shared" si="131"/>
        <v>0</v>
      </c>
      <c r="Y257" s="22">
        <f t="shared" si="131"/>
        <v>0</v>
      </c>
      <c r="Z257" s="22">
        <f t="shared" si="131"/>
        <v>0</v>
      </c>
      <c r="AA257" s="22">
        <f t="shared" si="131"/>
        <v>0</v>
      </c>
      <c r="AB257" s="1"/>
      <c r="AC257" s="5">
        <f t="shared" si="112"/>
        <v>25</v>
      </c>
      <c r="AD257" s="5">
        <f t="shared" si="113"/>
        <v>0</v>
      </c>
      <c r="AE257" s="5">
        <f t="shared" si="114"/>
        <v>52</v>
      </c>
      <c r="AF257" s="5">
        <f t="shared" si="115"/>
        <v>0</v>
      </c>
      <c r="AG257" s="5">
        <f t="shared" si="116"/>
        <v>0</v>
      </c>
      <c r="AH257" s="5">
        <f t="shared" si="117"/>
        <v>0</v>
      </c>
      <c r="AI257" s="5">
        <f t="shared" si="118"/>
        <v>0</v>
      </c>
      <c r="AJ257" s="5">
        <f t="shared" si="119"/>
        <v>0</v>
      </c>
      <c r="AK257" s="5">
        <f t="shared" si="120"/>
        <v>0</v>
      </c>
      <c r="AL257" s="5">
        <f t="shared" si="121"/>
        <v>0</v>
      </c>
      <c r="AM257" s="5">
        <f t="shared" si="122"/>
        <v>0</v>
      </c>
      <c r="AN257" s="5">
        <f t="shared" si="123"/>
        <v>0</v>
      </c>
      <c r="AO257" s="5">
        <f t="shared" si="124"/>
        <v>0</v>
      </c>
      <c r="AP257" s="5">
        <f t="shared" si="125"/>
        <v>0</v>
      </c>
      <c r="AQ257" s="5">
        <f t="shared" si="126"/>
        <v>0</v>
      </c>
      <c r="AR257" s="5">
        <f t="shared" si="127"/>
        <v>0</v>
      </c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M257" s="40">
        <f>IF(OR(V256=4,V256=8,V256=12,V256=16,V256=20),$CA$1,0)</f>
        <v>0</v>
      </c>
      <c r="BN257" s="40">
        <f>IF(OR(W256=4,W256=8,W256=12,W256=16,W256=20),$CA$1,0)</f>
        <v>0</v>
      </c>
      <c r="BO257" s="40">
        <f>IF(OR(X256=4,X256=8,X256=12,X256=16,X256=20),$CA$1,0)</f>
        <v>0</v>
      </c>
      <c r="BP257" s="40">
        <f>IF(OR(Y256=4,Y256=8,Y256=12,Y256=16,Y256=20),$CA$1,0)</f>
        <v>0</v>
      </c>
      <c r="BQ257" s="40">
        <f>IF(OR(Z256=4,Z256=8,Z256=12,Z256=16,Z256=20),$CA$1,0)</f>
        <v>0</v>
      </c>
      <c r="BR257" s="40">
        <f>IF(OR(AA256=4,AA256=8,AA256=12,AA256=16,AA256=20),$CA$1,0)</f>
        <v>0</v>
      </c>
      <c r="BS257" s="40">
        <f>IF(V253=20,$CB$1,0)</f>
        <v>0</v>
      </c>
      <c r="BT257" s="40">
        <f>IF(W253=20,$CB$1,0)</f>
        <v>0</v>
      </c>
      <c r="BU257" s="40">
        <f>IF(X253=20,$CB$1,0)</f>
        <v>0</v>
      </c>
      <c r="BV257" s="40">
        <f>IF(Y253=20,$CB$1,0)</f>
        <v>0</v>
      </c>
      <c r="BW257" s="40">
        <f>IF(Z253=20,$CB$1,0)</f>
        <v>0</v>
      </c>
      <c r="BX257" s="40">
        <f>IF(AA253=20,$CB$1,0)</f>
        <v>0</v>
      </c>
      <c r="BY257" s="41">
        <f t="shared" si="107"/>
        <v>0</v>
      </c>
      <c r="BZ257" s="41">
        <f t="shared" si="108"/>
        <v>0</v>
      </c>
      <c r="CA257" s="58">
        <f t="shared" si="130"/>
        <v>44872</v>
      </c>
      <c r="CB257" s="47">
        <f t="shared" si="109"/>
        <v>0</v>
      </c>
    </row>
    <row r="258" spans="2:80" ht="15" outlineLevel="1" x14ac:dyDescent="0.2">
      <c r="B258" s="18">
        <f t="shared" si="102"/>
        <v>44879</v>
      </c>
      <c r="C258" s="17" t="s">
        <v>1</v>
      </c>
      <c r="D258" s="19">
        <f t="shared" si="103"/>
        <v>44885</v>
      </c>
      <c r="E258" s="20">
        <f t="shared" si="104"/>
        <v>11</v>
      </c>
      <c r="F258" s="21">
        <f t="shared" si="105"/>
        <v>2022</v>
      </c>
      <c r="G258" s="11">
        <f t="shared" si="132"/>
        <v>22</v>
      </c>
      <c r="H258" s="10">
        <f t="shared" si="132"/>
        <v>66</v>
      </c>
      <c r="I258" s="11"/>
      <c r="J258" s="11"/>
      <c r="K258" s="11"/>
      <c r="L258" s="11"/>
      <c r="M258" s="11"/>
      <c r="N258" s="11"/>
      <c r="O258" s="14"/>
      <c r="P258" s="14"/>
      <c r="Q258" s="14"/>
      <c r="R258" s="14"/>
      <c r="S258" s="14"/>
      <c r="T258" s="14"/>
      <c r="V258" s="22">
        <f t="shared" si="131"/>
        <v>0</v>
      </c>
      <c r="W258" s="22">
        <f t="shared" si="131"/>
        <v>0</v>
      </c>
      <c r="X258" s="22">
        <f t="shared" si="131"/>
        <v>0</v>
      </c>
      <c r="Y258" s="22">
        <f t="shared" si="131"/>
        <v>0</v>
      </c>
      <c r="Z258" s="22">
        <f t="shared" si="131"/>
        <v>0</v>
      </c>
      <c r="AA258" s="22">
        <f t="shared" si="131"/>
        <v>0</v>
      </c>
      <c r="AB258" s="1"/>
      <c r="AC258" s="5">
        <f t="shared" si="112"/>
        <v>26</v>
      </c>
      <c r="AD258" s="5">
        <f t="shared" si="113"/>
        <v>0</v>
      </c>
      <c r="AE258" s="5">
        <f t="shared" si="114"/>
        <v>53</v>
      </c>
      <c r="AF258" s="5">
        <f t="shared" si="115"/>
        <v>0</v>
      </c>
      <c r="AG258" s="5">
        <f t="shared" si="116"/>
        <v>0</v>
      </c>
      <c r="AH258" s="5">
        <f t="shared" si="117"/>
        <v>0</v>
      </c>
      <c r="AI258" s="5">
        <f t="shared" si="118"/>
        <v>0</v>
      </c>
      <c r="AJ258" s="5">
        <f t="shared" si="119"/>
        <v>0</v>
      </c>
      <c r="AK258" s="5">
        <f t="shared" si="120"/>
        <v>0</v>
      </c>
      <c r="AL258" s="5">
        <f t="shared" si="121"/>
        <v>0</v>
      </c>
      <c r="AM258" s="5">
        <f t="shared" si="122"/>
        <v>0</v>
      </c>
      <c r="AN258" s="5">
        <f t="shared" si="123"/>
        <v>0</v>
      </c>
      <c r="AO258" s="5">
        <f t="shared" si="124"/>
        <v>0</v>
      </c>
      <c r="AP258" s="5">
        <f t="shared" si="125"/>
        <v>0</v>
      </c>
      <c r="AQ258" s="5">
        <f t="shared" si="126"/>
        <v>0</v>
      </c>
      <c r="AR258" s="5">
        <f t="shared" si="127"/>
        <v>0</v>
      </c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M258" s="40">
        <f>IF(OR(V257=4,V257=8,V257=12,V257=16,V257=20),$CA$1,0)</f>
        <v>0</v>
      </c>
      <c r="BN258" s="40">
        <f>IF(OR(W257=4,W257=8,W257=12,W257=16,W257=20),$CA$1,0)</f>
        <v>0</v>
      </c>
      <c r="BO258" s="40">
        <f>IF(OR(X257=4,X257=8,X257=12,X257=16,X257=20),$CA$1,0)</f>
        <v>0</v>
      </c>
      <c r="BP258" s="40">
        <f>IF(OR(Y257=4,Y257=8,Y257=12,Y257=16,Y257=20),$CA$1,0)</f>
        <v>0</v>
      </c>
      <c r="BQ258" s="40">
        <f>IF(OR(Z257=4,Z257=8,Z257=12,Z257=16,Z257=20),$CA$1,0)</f>
        <v>0</v>
      </c>
      <c r="BR258" s="40">
        <f>IF(OR(AA257=4,AA257=8,AA257=12,AA257=16,AA257=20),$CA$1,0)</f>
        <v>0</v>
      </c>
      <c r="BS258" s="40">
        <f>IF(V254=20,$CB$1,0)</f>
        <v>0</v>
      </c>
      <c r="BT258" s="40">
        <f>IF(W254=20,$CB$1,0)</f>
        <v>0</v>
      </c>
      <c r="BU258" s="40">
        <f>IF(X254=20,$CB$1,0)</f>
        <v>0</v>
      </c>
      <c r="BV258" s="40">
        <f>IF(Y254=20,$CB$1,0)</f>
        <v>0</v>
      </c>
      <c r="BW258" s="40">
        <f>IF(Z254=20,$CB$1,0)</f>
        <v>0</v>
      </c>
      <c r="BX258" s="40">
        <f>IF(AA254=20,$CB$1,0)</f>
        <v>0</v>
      </c>
      <c r="BY258" s="41">
        <f t="shared" si="107"/>
        <v>0</v>
      </c>
      <c r="BZ258" s="41">
        <f t="shared" si="108"/>
        <v>0</v>
      </c>
      <c r="CA258" s="58">
        <f t="shared" si="130"/>
        <v>44879</v>
      </c>
      <c r="CB258" s="47">
        <f t="shared" si="109"/>
        <v>0</v>
      </c>
    </row>
    <row r="259" spans="2:80" ht="15" outlineLevel="1" x14ac:dyDescent="0.2">
      <c r="B259" s="18">
        <f t="shared" si="102"/>
        <v>44886</v>
      </c>
      <c r="C259" s="17" t="s">
        <v>1</v>
      </c>
      <c r="D259" s="19">
        <f t="shared" si="103"/>
        <v>44892</v>
      </c>
      <c r="E259" s="20">
        <f t="shared" si="104"/>
        <v>11</v>
      </c>
      <c r="F259" s="21">
        <f t="shared" si="105"/>
        <v>2022</v>
      </c>
      <c r="G259" s="11">
        <f t="shared" si="132"/>
        <v>22</v>
      </c>
      <c r="H259" s="10">
        <f t="shared" si="132"/>
        <v>66</v>
      </c>
      <c r="I259" s="11"/>
      <c r="J259" s="11"/>
      <c r="K259" s="11"/>
      <c r="L259" s="11"/>
      <c r="M259" s="11"/>
      <c r="N259" s="11"/>
      <c r="O259" s="14">
        <v>1</v>
      </c>
      <c r="P259" s="14"/>
      <c r="Q259" s="14"/>
      <c r="R259" s="14"/>
      <c r="S259" s="14"/>
      <c r="T259" s="14"/>
      <c r="V259" s="22">
        <f t="shared" si="131"/>
        <v>44888</v>
      </c>
      <c r="W259" s="22">
        <f t="shared" si="131"/>
        <v>0</v>
      </c>
      <c r="X259" s="22">
        <f t="shared" si="131"/>
        <v>0</v>
      </c>
      <c r="Y259" s="22">
        <f t="shared" si="131"/>
        <v>0</v>
      </c>
      <c r="Z259" s="22">
        <f t="shared" si="131"/>
        <v>0</v>
      </c>
      <c r="AA259" s="22">
        <f t="shared" si="131"/>
        <v>0</v>
      </c>
      <c r="AB259" s="1"/>
      <c r="AC259" s="5">
        <f t="shared" si="112"/>
        <v>27</v>
      </c>
      <c r="AD259" s="5">
        <f t="shared" si="113"/>
        <v>0</v>
      </c>
      <c r="AE259" s="5">
        <f t="shared" si="114"/>
        <v>54</v>
      </c>
      <c r="AF259" s="5">
        <f t="shared" si="115"/>
        <v>0</v>
      </c>
      <c r="AG259" s="5">
        <f t="shared" si="116"/>
        <v>0</v>
      </c>
      <c r="AH259" s="5">
        <f t="shared" si="117"/>
        <v>0</v>
      </c>
      <c r="AI259" s="5">
        <f t="shared" si="118"/>
        <v>0</v>
      </c>
      <c r="AJ259" s="5">
        <f t="shared" si="119"/>
        <v>0</v>
      </c>
      <c r="AK259" s="5">
        <f t="shared" si="120"/>
        <v>0</v>
      </c>
      <c r="AL259" s="5">
        <f t="shared" si="121"/>
        <v>0</v>
      </c>
      <c r="AM259" s="5">
        <f t="shared" si="122"/>
        <v>0</v>
      </c>
      <c r="AN259" s="5">
        <f t="shared" si="123"/>
        <v>0</v>
      </c>
      <c r="AO259" s="5">
        <f t="shared" si="124"/>
        <v>0</v>
      </c>
      <c r="AP259" s="5">
        <f t="shared" si="125"/>
        <v>0</v>
      </c>
      <c r="AQ259" s="5">
        <f t="shared" si="126"/>
        <v>0</v>
      </c>
      <c r="AR259" s="5">
        <f t="shared" si="127"/>
        <v>0</v>
      </c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M259" s="40">
        <f>IF(OR(V258=4,V258=8,V258=12,V258=16,V258=20),$CA$1,0)</f>
        <v>0</v>
      </c>
      <c r="BN259" s="40">
        <f>IF(OR(W258=4,W258=8,W258=12,W258=16,W258=20),$CA$1,0)</f>
        <v>0</v>
      </c>
      <c r="BO259" s="40">
        <f>IF(OR(X258=4,X258=8,X258=12,X258=16,X258=20),$CA$1,0)</f>
        <v>0</v>
      </c>
      <c r="BP259" s="40">
        <f>IF(OR(Y258=4,Y258=8,Y258=12,Y258=16,Y258=20),$CA$1,0)</f>
        <v>0</v>
      </c>
      <c r="BQ259" s="40">
        <f>IF(OR(Z258=4,Z258=8,Z258=12,Z258=16,Z258=20),$CA$1,0)</f>
        <v>0</v>
      </c>
      <c r="BR259" s="40">
        <f>IF(OR(AA258=4,AA258=8,AA258=12,AA258=16,AA258=20),$CA$1,0)</f>
        <v>0</v>
      </c>
      <c r="BS259" s="40">
        <f>IF(V255=20,$CB$1,0)</f>
        <v>0</v>
      </c>
      <c r="BT259" s="40">
        <f>IF(W255=20,$CB$1,0)</f>
        <v>0</v>
      </c>
      <c r="BU259" s="40">
        <f>IF(X255=20,$CB$1,0)</f>
        <v>0</v>
      </c>
      <c r="BV259" s="40">
        <f>IF(Y255=20,$CB$1,0)</f>
        <v>0</v>
      </c>
      <c r="BW259" s="40">
        <f>IF(Z255=20,$CB$1,0)</f>
        <v>0</v>
      </c>
      <c r="BX259" s="40">
        <f>IF(AA255=20,$CB$1,0)</f>
        <v>0</v>
      </c>
      <c r="BY259" s="41">
        <f t="shared" si="107"/>
        <v>0</v>
      </c>
      <c r="BZ259" s="41">
        <f t="shared" si="108"/>
        <v>0</v>
      </c>
      <c r="CA259" s="58">
        <f t="shared" si="130"/>
        <v>44886</v>
      </c>
      <c r="CB259" s="47">
        <f t="shared" si="109"/>
        <v>0</v>
      </c>
    </row>
    <row r="260" spans="2:80" ht="15" outlineLevel="1" x14ac:dyDescent="0.2">
      <c r="B260" s="18">
        <f t="shared" si="102"/>
        <v>44893</v>
      </c>
      <c r="C260" s="17" t="s">
        <v>1</v>
      </c>
      <c r="D260" s="19">
        <f t="shared" si="103"/>
        <v>44899</v>
      </c>
      <c r="E260" s="20">
        <f t="shared" si="104"/>
        <v>11</v>
      </c>
      <c r="F260" s="21">
        <f t="shared" si="105"/>
        <v>2022</v>
      </c>
      <c r="G260" s="11">
        <f t="shared" si="132"/>
        <v>22</v>
      </c>
      <c r="H260" s="10">
        <f t="shared" si="132"/>
        <v>66</v>
      </c>
      <c r="I260" s="11"/>
      <c r="J260" s="11">
        <v>22</v>
      </c>
      <c r="K260" s="11"/>
      <c r="L260" s="11"/>
      <c r="M260" s="11"/>
      <c r="N260" s="11"/>
      <c r="O260" s="14"/>
      <c r="P260" s="14"/>
      <c r="Q260" s="14"/>
      <c r="R260" s="14"/>
      <c r="S260" s="14"/>
      <c r="T260" s="14"/>
      <c r="V260" s="22">
        <f t="shared" ref="V260:AA275" si="133">IF(I260&gt;0,I260,IF(O260=1,$B260+2,IF(O259=1,1,IF(O259=2,0,IF(V259=$G259,0,(IF(V259&gt;=1,V259+1,0)))))))</f>
        <v>1</v>
      </c>
      <c r="W260" s="22">
        <f t="shared" si="133"/>
        <v>22</v>
      </c>
      <c r="X260" s="22">
        <f t="shared" si="133"/>
        <v>0</v>
      </c>
      <c r="Y260" s="22">
        <f t="shared" si="133"/>
        <v>0</v>
      </c>
      <c r="Z260" s="22">
        <f t="shared" si="133"/>
        <v>0</v>
      </c>
      <c r="AA260" s="22">
        <f t="shared" si="133"/>
        <v>0</v>
      </c>
      <c r="AB260" s="1"/>
      <c r="AC260" s="5">
        <f t="shared" si="112"/>
        <v>28</v>
      </c>
      <c r="AD260" s="5">
        <f t="shared" si="113"/>
        <v>22</v>
      </c>
      <c r="AE260" s="5">
        <f t="shared" si="114"/>
        <v>55</v>
      </c>
      <c r="AF260" s="5">
        <f t="shared" si="115"/>
        <v>0</v>
      </c>
      <c r="AG260" s="5">
        <f t="shared" si="116"/>
        <v>0</v>
      </c>
      <c r="AH260" s="5">
        <f t="shared" si="117"/>
        <v>0</v>
      </c>
      <c r="AI260" s="5">
        <f t="shared" si="118"/>
        <v>0</v>
      </c>
      <c r="AJ260" s="5">
        <f t="shared" si="119"/>
        <v>0</v>
      </c>
      <c r="AK260" s="5">
        <f t="shared" si="120"/>
        <v>0</v>
      </c>
      <c r="AL260" s="5">
        <f t="shared" si="121"/>
        <v>0</v>
      </c>
      <c r="AM260" s="5">
        <f t="shared" si="122"/>
        <v>0</v>
      </c>
      <c r="AN260" s="5">
        <f t="shared" si="123"/>
        <v>0</v>
      </c>
      <c r="AO260" s="5">
        <f t="shared" si="124"/>
        <v>0</v>
      </c>
      <c r="AP260" s="5">
        <f t="shared" si="125"/>
        <v>0</v>
      </c>
      <c r="AQ260" s="5">
        <f t="shared" si="126"/>
        <v>0</v>
      </c>
      <c r="AR260" s="5">
        <f t="shared" si="127"/>
        <v>0</v>
      </c>
      <c r="AS260" s="10"/>
      <c r="AT260" s="10">
        <v>2</v>
      </c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M260" s="40">
        <f>IF(OR(V259=4,V259=8,V259=12,V259=16,V259=20),$CA$1,0)</f>
        <v>0</v>
      </c>
      <c r="BN260" s="40">
        <f>IF(OR(W259=4,W259=8,W259=12,W259=16,W259=20),$CA$1,0)</f>
        <v>0</v>
      </c>
      <c r="BO260" s="40">
        <f>IF(OR(X259=4,X259=8,X259=12,X259=16,X259=20),$CA$1,0)</f>
        <v>0</v>
      </c>
      <c r="BP260" s="40">
        <f>IF(OR(Y259=4,Y259=8,Y259=12,Y259=16,Y259=20),$CA$1,0)</f>
        <v>0</v>
      </c>
      <c r="BQ260" s="40">
        <f>IF(OR(Z259=4,Z259=8,Z259=12,Z259=16,Z259=20),$CA$1,0)</f>
        <v>0</v>
      </c>
      <c r="BR260" s="40">
        <f>IF(OR(AA259=4,AA259=8,AA259=12,AA259=16,AA259=20),$CA$1,0)</f>
        <v>0</v>
      </c>
      <c r="BS260" s="40">
        <f>IF(V256=20,$CB$1,0)</f>
        <v>0</v>
      </c>
      <c r="BT260" s="40">
        <f>IF(W256=20,$CB$1,0)</f>
        <v>0</v>
      </c>
      <c r="BU260" s="40">
        <f>IF(X256=20,$CB$1,0)</f>
        <v>0</v>
      </c>
      <c r="BV260" s="40">
        <f>IF(Y256=20,$CB$1,0)</f>
        <v>0</v>
      </c>
      <c r="BW260" s="40">
        <f>IF(Z256=20,$CB$1,0)</f>
        <v>0</v>
      </c>
      <c r="BX260" s="40">
        <f>IF(AA256=20,$CB$1,0)</f>
        <v>0</v>
      </c>
      <c r="BY260" s="41">
        <f t="shared" si="107"/>
        <v>0</v>
      </c>
      <c r="BZ260" s="41">
        <f t="shared" si="108"/>
        <v>0</v>
      </c>
      <c r="CA260" s="58">
        <f t="shared" si="130"/>
        <v>44893</v>
      </c>
      <c r="CB260" s="47">
        <f t="shared" si="109"/>
        <v>0</v>
      </c>
    </row>
    <row r="261" spans="2:80" ht="15" outlineLevel="1" x14ac:dyDescent="0.2">
      <c r="B261" s="18">
        <f t="shared" ref="B261:B324" si="134">D260+1</f>
        <v>44900</v>
      </c>
      <c r="C261" s="17" t="s">
        <v>1</v>
      </c>
      <c r="D261" s="19">
        <f t="shared" ref="D261:D324" si="135">B261+6</f>
        <v>44906</v>
      </c>
      <c r="E261" s="20">
        <f t="shared" ref="E261:E324" si="136">MONTH(B261)</f>
        <v>12</v>
      </c>
      <c r="F261" s="21">
        <f t="shared" ref="F261:F324" si="137">YEAR(D261)</f>
        <v>2022</v>
      </c>
      <c r="G261" s="11">
        <f t="shared" si="132"/>
        <v>22</v>
      </c>
      <c r="H261" s="10">
        <f t="shared" si="132"/>
        <v>66</v>
      </c>
      <c r="I261" s="11"/>
      <c r="J261" s="11"/>
      <c r="K261" s="11"/>
      <c r="L261" s="11"/>
      <c r="M261" s="11"/>
      <c r="N261" s="11"/>
      <c r="O261" s="14"/>
      <c r="P261" s="14"/>
      <c r="Q261" s="14"/>
      <c r="R261" s="14"/>
      <c r="S261" s="14"/>
      <c r="T261" s="14"/>
      <c r="V261" s="22">
        <f t="shared" si="133"/>
        <v>2</v>
      </c>
      <c r="W261" s="22">
        <f t="shared" si="133"/>
        <v>0</v>
      </c>
      <c r="X261" s="22">
        <f t="shared" si="133"/>
        <v>0</v>
      </c>
      <c r="Y261" s="22">
        <f t="shared" si="133"/>
        <v>0</v>
      </c>
      <c r="Z261" s="22">
        <f t="shared" si="133"/>
        <v>0</v>
      </c>
      <c r="AA261" s="22">
        <f t="shared" si="133"/>
        <v>0</v>
      </c>
      <c r="AB261" s="1"/>
      <c r="AC261" s="5">
        <f t="shared" si="112"/>
        <v>29</v>
      </c>
      <c r="AD261" s="5">
        <f t="shared" si="113"/>
        <v>23</v>
      </c>
      <c r="AE261" s="5">
        <f t="shared" si="114"/>
        <v>56</v>
      </c>
      <c r="AF261" s="5">
        <f t="shared" si="115"/>
        <v>0</v>
      </c>
      <c r="AG261" s="5">
        <f t="shared" si="116"/>
        <v>0</v>
      </c>
      <c r="AH261" s="5">
        <f t="shared" si="117"/>
        <v>0</v>
      </c>
      <c r="AI261" s="5">
        <f t="shared" si="118"/>
        <v>0</v>
      </c>
      <c r="AJ261" s="5">
        <f t="shared" si="119"/>
        <v>0</v>
      </c>
      <c r="AK261" s="5">
        <f t="shared" si="120"/>
        <v>0</v>
      </c>
      <c r="AL261" s="5">
        <f t="shared" si="121"/>
        <v>0</v>
      </c>
      <c r="AM261" s="5">
        <f t="shared" si="122"/>
        <v>0</v>
      </c>
      <c r="AN261" s="5">
        <f t="shared" si="123"/>
        <v>0</v>
      </c>
      <c r="AO261" s="5">
        <f t="shared" si="124"/>
        <v>0</v>
      </c>
      <c r="AP261" s="5">
        <f t="shared" si="125"/>
        <v>0</v>
      </c>
      <c r="AQ261" s="5">
        <f t="shared" si="126"/>
        <v>0</v>
      </c>
      <c r="AR261" s="5">
        <f t="shared" si="127"/>
        <v>0</v>
      </c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M261" s="40">
        <f>IF(OR(V260=4,V260=8,V260=12,V260=16,V260=20),$CA$1,0)</f>
        <v>0</v>
      </c>
      <c r="BN261" s="40">
        <f>IF(OR(W260=4,W260=8,W260=12,W260=16,W260=20),$CA$1,0)</f>
        <v>0</v>
      </c>
      <c r="BO261" s="40">
        <f>IF(OR(X260=4,X260=8,X260=12,X260=16,X260=20),$CA$1,0)</f>
        <v>0</v>
      </c>
      <c r="BP261" s="40">
        <f>IF(OR(Y260=4,Y260=8,Y260=12,Y260=16,Y260=20),$CA$1,0)</f>
        <v>0</v>
      </c>
      <c r="BQ261" s="40">
        <f>IF(OR(Z260=4,Z260=8,Z260=12,Z260=16,Z260=20),$CA$1,0)</f>
        <v>0</v>
      </c>
      <c r="BR261" s="40">
        <f>IF(OR(AA260=4,AA260=8,AA260=12,AA260=16,AA260=20),$CA$1,0)</f>
        <v>0</v>
      </c>
      <c r="BS261" s="40">
        <f>IF(V257=20,$CB$1,0)</f>
        <v>0</v>
      </c>
      <c r="BT261" s="40">
        <f>IF(W257=20,$CB$1,0)</f>
        <v>0</v>
      </c>
      <c r="BU261" s="40">
        <f>IF(X257=20,$CB$1,0)</f>
        <v>0</v>
      </c>
      <c r="BV261" s="40">
        <f>IF(Y257=20,$CB$1,0)</f>
        <v>0</v>
      </c>
      <c r="BW261" s="40">
        <f>IF(Z257=20,$CB$1,0)</f>
        <v>0</v>
      </c>
      <c r="BX261" s="40">
        <f>IF(AA257=20,$CB$1,0)</f>
        <v>0</v>
      </c>
      <c r="BY261" s="41">
        <f t="shared" si="107"/>
        <v>0</v>
      </c>
      <c r="BZ261" s="41">
        <f t="shared" si="108"/>
        <v>0</v>
      </c>
      <c r="CA261" s="58">
        <f t="shared" si="130"/>
        <v>44900</v>
      </c>
      <c r="CB261" s="47">
        <f t="shared" si="109"/>
        <v>0</v>
      </c>
    </row>
    <row r="262" spans="2:80" ht="15" outlineLevel="1" x14ac:dyDescent="0.2">
      <c r="B262" s="18">
        <f t="shared" si="134"/>
        <v>44907</v>
      </c>
      <c r="C262" s="17" t="s">
        <v>1</v>
      </c>
      <c r="D262" s="19">
        <f t="shared" si="135"/>
        <v>44913</v>
      </c>
      <c r="E262" s="20">
        <f t="shared" si="136"/>
        <v>12</v>
      </c>
      <c r="F262" s="21">
        <f t="shared" si="137"/>
        <v>2022</v>
      </c>
      <c r="G262" s="11">
        <f t="shared" ref="G262:H277" si="138">G261</f>
        <v>22</v>
      </c>
      <c r="H262" s="10">
        <f t="shared" si="138"/>
        <v>66</v>
      </c>
      <c r="I262" s="11"/>
      <c r="J262" s="11"/>
      <c r="K262" s="11"/>
      <c r="L262" s="11"/>
      <c r="M262" s="11"/>
      <c r="N262" s="11"/>
      <c r="O262" s="14"/>
      <c r="P262" s="14"/>
      <c r="Q262" s="14"/>
      <c r="R262" s="14"/>
      <c r="S262" s="14"/>
      <c r="T262" s="14"/>
      <c r="V262" s="22">
        <f t="shared" si="133"/>
        <v>3</v>
      </c>
      <c r="W262" s="22">
        <f t="shared" si="133"/>
        <v>0</v>
      </c>
      <c r="X262" s="22">
        <f t="shared" si="133"/>
        <v>0</v>
      </c>
      <c r="Y262" s="22">
        <f t="shared" si="133"/>
        <v>0</v>
      </c>
      <c r="Z262" s="22">
        <f t="shared" si="133"/>
        <v>0</v>
      </c>
      <c r="AA262" s="22">
        <f t="shared" si="133"/>
        <v>0</v>
      </c>
      <c r="AB262" s="1"/>
      <c r="AC262" s="5">
        <f t="shared" si="112"/>
        <v>30</v>
      </c>
      <c r="AD262" s="5">
        <f t="shared" si="113"/>
        <v>24</v>
      </c>
      <c r="AE262" s="5">
        <f t="shared" si="114"/>
        <v>57</v>
      </c>
      <c r="AF262" s="5">
        <f t="shared" si="115"/>
        <v>0</v>
      </c>
      <c r="AG262" s="5">
        <f t="shared" si="116"/>
        <v>0</v>
      </c>
      <c r="AH262" s="5">
        <f t="shared" si="117"/>
        <v>0</v>
      </c>
      <c r="AI262" s="5">
        <f t="shared" si="118"/>
        <v>0</v>
      </c>
      <c r="AJ262" s="5">
        <f t="shared" si="119"/>
        <v>0</v>
      </c>
      <c r="AK262" s="5">
        <f t="shared" si="120"/>
        <v>0</v>
      </c>
      <c r="AL262" s="5">
        <f t="shared" si="121"/>
        <v>0</v>
      </c>
      <c r="AM262" s="5">
        <f t="shared" si="122"/>
        <v>0</v>
      </c>
      <c r="AN262" s="5">
        <f t="shared" si="123"/>
        <v>0</v>
      </c>
      <c r="AO262" s="5">
        <f t="shared" si="124"/>
        <v>0</v>
      </c>
      <c r="AP262" s="5">
        <f t="shared" si="125"/>
        <v>0</v>
      </c>
      <c r="AQ262" s="5">
        <f t="shared" si="126"/>
        <v>0</v>
      </c>
      <c r="AR262" s="5">
        <f t="shared" si="127"/>
        <v>0</v>
      </c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M262" s="40">
        <f>IF(OR(V261=4,V261=8,V261=12,V261=16,V261=20),$CA$1,0)</f>
        <v>0</v>
      </c>
      <c r="BN262" s="40">
        <f>IF(OR(W261=4,W261=8,W261=12,W261=16,W261=20),$CA$1,0)</f>
        <v>0</v>
      </c>
      <c r="BO262" s="40">
        <f>IF(OR(X261=4,X261=8,X261=12,X261=16,X261=20),$CA$1,0)</f>
        <v>0</v>
      </c>
      <c r="BP262" s="40">
        <f>IF(OR(Y261=4,Y261=8,Y261=12,Y261=16,Y261=20),$CA$1,0)</f>
        <v>0</v>
      </c>
      <c r="BQ262" s="40">
        <f>IF(OR(Z261=4,Z261=8,Z261=12,Z261=16,Z261=20),$CA$1,0)</f>
        <v>0</v>
      </c>
      <c r="BR262" s="40">
        <f>IF(OR(AA261=4,AA261=8,AA261=12,AA261=16,AA261=20),$CA$1,0)</f>
        <v>0</v>
      </c>
      <c r="BS262" s="40">
        <f>IF(V258=20,$CB$1,0)</f>
        <v>0</v>
      </c>
      <c r="BT262" s="40">
        <f>IF(W258=20,$CB$1,0)</f>
        <v>0</v>
      </c>
      <c r="BU262" s="40">
        <f>IF(X258=20,$CB$1,0)</f>
        <v>0</v>
      </c>
      <c r="BV262" s="40">
        <f>IF(Y258=20,$CB$1,0)</f>
        <v>0</v>
      </c>
      <c r="BW262" s="40">
        <f>IF(Z258=20,$CB$1,0)</f>
        <v>0</v>
      </c>
      <c r="BX262" s="40">
        <f>IF(AA258=20,$CB$1,0)</f>
        <v>0</v>
      </c>
      <c r="BY262" s="41">
        <f t="shared" si="107"/>
        <v>0</v>
      </c>
      <c r="BZ262" s="41">
        <f t="shared" si="108"/>
        <v>0</v>
      </c>
      <c r="CA262" s="58">
        <f t="shared" si="130"/>
        <v>44907</v>
      </c>
      <c r="CB262" s="47">
        <f t="shared" si="109"/>
        <v>0</v>
      </c>
    </row>
    <row r="263" spans="2:80" ht="15" outlineLevel="1" x14ac:dyDescent="0.2">
      <c r="B263" s="18">
        <f t="shared" si="134"/>
        <v>44914</v>
      </c>
      <c r="C263" s="17" t="s">
        <v>1</v>
      </c>
      <c r="D263" s="19">
        <f t="shared" si="135"/>
        <v>44920</v>
      </c>
      <c r="E263" s="20">
        <f t="shared" si="136"/>
        <v>12</v>
      </c>
      <c r="F263" s="21">
        <f t="shared" si="137"/>
        <v>2022</v>
      </c>
      <c r="G263" s="11">
        <f t="shared" si="138"/>
        <v>22</v>
      </c>
      <c r="H263" s="10">
        <f t="shared" si="138"/>
        <v>66</v>
      </c>
      <c r="I263" s="11"/>
      <c r="J263" s="11"/>
      <c r="K263" s="11"/>
      <c r="L263" s="11"/>
      <c r="M263" s="11"/>
      <c r="N263" s="11"/>
      <c r="O263" s="14"/>
      <c r="P263" s="14"/>
      <c r="Q263" s="14"/>
      <c r="R263" s="14"/>
      <c r="S263" s="14"/>
      <c r="T263" s="14"/>
      <c r="V263" s="22">
        <f t="shared" si="133"/>
        <v>4</v>
      </c>
      <c r="W263" s="22">
        <f t="shared" si="133"/>
        <v>0</v>
      </c>
      <c r="X263" s="22">
        <f t="shared" si="133"/>
        <v>0</v>
      </c>
      <c r="Y263" s="22">
        <f t="shared" si="133"/>
        <v>0</v>
      </c>
      <c r="Z263" s="22">
        <f t="shared" si="133"/>
        <v>0</v>
      </c>
      <c r="AA263" s="22">
        <f t="shared" si="133"/>
        <v>0</v>
      </c>
      <c r="AB263" s="1"/>
      <c r="AC263" s="5">
        <f t="shared" si="112"/>
        <v>31</v>
      </c>
      <c r="AD263" s="5">
        <f t="shared" si="113"/>
        <v>25</v>
      </c>
      <c r="AE263" s="5">
        <f t="shared" si="114"/>
        <v>58</v>
      </c>
      <c r="AF263" s="5">
        <f t="shared" si="115"/>
        <v>0</v>
      </c>
      <c r="AG263" s="5">
        <f t="shared" si="116"/>
        <v>0</v>
      </c>
      <c r="AH263" s="5">
        <f t="shared" si="117"/>
        <v>0</v>
      </c>
      <c r="AI263" s="5">
        <f t="shared" si="118"/>
        <v>0</v>
      </c>
      <c r="AJ263" s="5">
        <f t="shared" si="119"/>
        <v>0</v>
      </c>
      <c r="AK263" s="5">
        <f t="shared" si="120"/>
        <v>0</v>
      </c>
      <c r="AL263" s="5">
        <f t="shared" si="121"/>
        <v>0</v>
      </c>
      <c r="AM263" s="5">
        <f t="shared" si="122"/>
        <v>0</v>
      </c>
      <c r="AN263" s="5">
        <f t="shared" si="123"/>
        <v>0</v>
      </c>
      <c r="AO263" s="5">
        <f t="shared" si="124"/>
        <v>0</v>
      </c>
      <c r="AP263" s="5">
        <f t="shared" si="125"/>
        <v>0</v>
      </c>
      <c r="AQ263" s="5">
        <f t="shared" si="126"/>
        <v>0</v>
      </c>
      <c r="AR263" s="5">
        <f t="shared" si="127"/>
        <v>0</v>
      </c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M263" s="40">
        <f>IF(OR(V262=4,V262=8,V262=12,V262=16,V262=20),$CA$1,0)</f>
        <v>0</v>
      </c>
      <c r="BN263" s="40">
        <f>IF(OR(W262=4,W262=8,W262=12,W262=16,W262=20),$CA$1,0)</f>
        <v>0</v>
      </c>
      <c r="BO263" s="40">
        <f>IF(OR(X262=4,X262=8,X262=12,X262=16,X262=20),$CA$1,0)</f>
        <v>0</v>
      </c>
      <c r="BP263" s="40">
        <f>IF(OR(Y262=4,Y262=8,Y262=12,Y262=16,Y262=20),$CA$1,0)</f>
        <v>0</v>
      </c>
      <c r="BQ263" s="40">
        <f>IF(OR(Z262=4,Z262=8,Z262=12,Z262=16,Z262=20),$CA$1,0)</f>
        <v>0</v>
      </c>
      <c r="BR263" s="40">
        <f>IF(OR(AA262=4,AA262=8,AA262=12,AA262=16,AA262=20),$CA$1,0)</f>
        <v>0</v>
      </c>
      <c r="BS263" s="40">
        <f>IF(V259=20,$CB$1,0)</f>
        <v>0</v>
      </c>
      <c r="BT263" s="40">
        <f>IF(W259=20,$CB$1,0)</f>
        <v>0</v>
      </c>
      <c r="BU263" s="40">
        <f>IF(X259=20,$CB$1,0)</f>
        <v>0</v>
      </c>
      <c r="BV263" s="40">
        <f>IF(Y259=20,$CB$1,0)</f>
        <v>0</v>
      </c>
      <c r="BW263" s="40">
        <f>IF(Z259=20,$CB$1,0)</f>
        <v>0</v>
      </c>
      <c r="BX263" s="40">
        <f>IF(AA259=20,$CB$1,0)</f>
        <v>0</v>
      </c>
      <c r="BY263" s="41">
        <f t="shared" ref="BY263:BY316" si="139">SUM(BM263:BX263)</f>
        <v>0</v>
      </c>
      <c r="BZ263" s="41">
        <f t="shared" ref="BZ263:BZ316" si="140">IF(E263=E262,BY263+BZ262,BY263)</f>
        <v>0</v>
      </c>
      <c r="CA263" s="58">
        <f t="shared" si="130"/>
        <v>44914</v>
      </c>
      <c r="CB263" s="47">
        <f t="shared" ref="CB263:CB316" si="141">IF(E263=E264,0,BZ263)</f>
        <v>0</v>
      </c>
    </row>
    <row r="264" spans="2:80" ht="15" x14ac:dyDescent="0.2">
      <c r="B264" s="18">
        <f t="shared" si="134"/>
        <v>44921</v>
      </c>
      <c r="C264" s="17" t="s">
        <v>1</v>
      </c>
      <c r="D264" s="19">
        <f t="shared" si="135"/>
        <v>44927</v>
      </c>
      <c r="E264" s="20">
        <f t="shared" si="136"/>
        <v>12</v>
      </c>
      <c r="F264" s="21">
        <f t="shared" si="137"/>
        <v>2023</v>
      </c>
      <c r="G264" s="11">
        <f t="shared" si="138"/>
        <v>22</v>
      </c>
      <c r="H264" s="10">
        <f t="shared" si="138"/>
        <v>66</v>
      </c>
      <c r="I264" s="11"/>
      <c r="J264" s="11"/>
      <c r="K264" s="11"/>
      <c r="L264" s="11"/>
      <c r="M264" s="11"/>
      <c r="N264" s="11"/>
      <c r="O264" s="14"/>
      <c r="P264" s="14"/>
      <c r="Q264" s="14"/>
      <c r="R264" s="14"/>
      <c r="S264" s="14"/>
      <c r="T264" s="14"/>
      <c r="V264" s="22">
        <f t="shared" si="133"/>
        <v>5</v>
      </c>
      <c r="W264" s="22">
        <f t="shared" si="133"/>
        <v>0</v>
      </c>
      <c r="X264" s="22">
        <f t="shared" si="133"/>
        <v>0</v>
      </c>
      <c r="Y264" s="22">
        <f t="shared" si="133"/>
        <v>0</v>
      </c>
      <c r="Z264" s="22">
        <f t="shared" si="133"/>
        <v>0</v>
      </c>
      <c r="AA264" s="22">
        <f t="shared" si="133"/>
        <v>0</v>
      </c>
      <c r="AB264" s="1"/>
      <c r="AC264" s="5">
        <f t="shared" si="112"/>
        <v>32</v>
      </c>
      <c r="AD264" s="5">
        <f t="shared" si="113"/>
        <v>26</v>
      </c>
      <c r="AE264" s="5">
        <f t="shared" si="114"/>
        <v>59</v>
      </c>
      <c r="AF264" s="5">
        <f t="shared" si="115"/>
        <v>0</v>
      </c>
      <c r="AG264" s="5">
        <f t="shared" si="116"/>
        <v>0</v>
      </c>
      <c r="AH264" s="5">
        <f t="shared" si="117"/>
        <v>0</v>
      </c>
      <c r="AI264" s="5">
        <f t="shared" si="118"/>
        <v>0</v>
      </c>
      <c r="AJ264" s="5">
        <f t="shared" si="119"/>
        <v>0</v>
      </c>
      <c r="AK264" s="5">
        <f t="shared" si="120"/>
        <v>0</v>
      </c>
      <c r="AL264" s="5">
        <f t="shared" si="121"/>
        <v>0</v>
      </c>
      <c r="AM264" s="5">
        <f t="shared" si="122"/>
        <v>0</v>
      </c>
      <c r="AN264" s="5">
        <f t="shared" si="123"/>
        <v>0</v>
      </c>
      <c r="AO264" s="5">
        <f t="shared" si="124"/>
        <v>0</v>
      </c>
      <c r="AP264" s="5">
        <f t="shared" si="125"/>
        <v>0</v>
      </c>
      <c r="AQ264" s="5">
        <f t="shared" si="126"/>
        <v>0</v>
      </c>
      <c r="AR264" s="5">
        <f t="shared" si="127"/>
        <v>0</v>
      </c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M264" s="40">
        <f>IF(OR(V263=4,V263=8,V263=12,V263=16,V263=20),$CA$1,0)</f>
        <v>161491.14583333334</v>
      </c>
      <c r="BN264" s="40">
        <f>IF(OR(W263=4,W263=8,W263=12,W263=16,W263=20),$CA$1,0)</f>
        <v>0</v>
      </c>
      <c r="BO264" s="40">
        <f>IF(OR(X263=4,X263=8,X263=12,X263=16,X263=20),$CA$1,0)</f>
        <v>0</v>
      </c>
      <c r="BP264" s="40">
        <f>IF(OR(Y263=4,Y263=8,Y263=12,Y263=16,Y263=20),$CA$1,0)</f>
        <v>0</v>
      </c>
      <c r="BQ264" s="40">
        <f>IF(OR(Z263=4,Z263=8,Z263=12,Z263=16,Z263=20),$CA$1,0)</f>
        <v>0</v>
      </c>
      <c r="BR264" s="40">
        <f>IF(OR(AA263=4,AA263=8,AA263=12,AA263=16,AA263=20),$CA$1,0)</f>
        <v>0</v>
      </c>
      <c r="BS264" s="40">
        <f>IF(V260=20,$CB$1,0)</f>
        <v>0</v>
      </c>
      <c r="BT264" s="40">
        <f>IF(W260=20,$CB$1,0)</f>
        <v>0</v>
      </c>
      <c r="BU264" s="40">
        <f>IF(X260=20,$CB$1,0)</f>
        <v>0</v>
      </c>
      <c r="BV264" s="40">
        <f>IF(Y260=20,$CB$1,0)</f>
        <v>0</v>
      </c>
      <c r="BW264" s="40">
        <f>IF(Z260=20,$CB$1,0)</f>
        <v>0</v>
      </c>
      <c r="BX264" s="40">
        <f>IF(AA260=20,$CB$1,0)</f>
        <v>0</v>
      </c>
      <c r="BY264" s="41">
        <f t="shared" si="139"/>
        <v>161491.14583333334</v>
      </c>
      <c r="BZ264" s="41">
        <f t="shared" si="140"/>
        <v>161491.14583333334</v>
      </c>
      <c r="CA264" s="58">
        <f t="shared" si="130"/>
        <v>44921</v>
      </c>
      <c r="CB264" s="47">
        <f t="shared" si="141"/>
        <v>161491.14583333334</v>
      </c>
    </row>
    <row r="265" spans="2:80" ht="15" hidden="1" outlineLevel="1" x14ac:dyDescent="0.2">
      <c r="B265" s="18">
        <f t="shared" si="134"/>
        <v>44928</v>
      </c>
      <c r="C265" s="17" t="s">
        <v>1</v>
      </c>
      <c r="D265" s="19">
        <f t="shared" si="135"/>
        <v>44934</v>
      </c>
      <c r="E265" s="20">
        <f t="shared" si="136"/>
        <v>1</v>
      </c>
      <c r="F265" s="21">
        <f t="shared" si="137"/>
        <v>2023</v>
      </c>
      <c r="G265" s="11">
        <f t="shared" si="138"/>
        <v>22</v>
      </c>
      <c r="H265" s="10">
        <f t="shared" si="138"/>
        <v>66</v>
      </c>
      <c r="I265" s="11"/>
      <c r="J265" s="11"/>
      <c r="K265" s="11"/>
      <c r="L265" s="11"/>
      <c r="M265" s="11"/>
      <c r="N265" s="11"/>
      <c r="O265" s="14"/>
      <c r="P265" s="14"/>
      <c r="Q265" s="14"/>
      <c r="R265" s="14"/>
      <c r="S265" s="14"/>
      <c r="T265" s="14"/>
      <c r="V265" s="22">
        <f t="shared" si="133"/>
        <v>6</v>
      </c>
      <c r="W265" s="22">
        <f t="shared" si="133"/>
        <v>0</v>
      </c>
      <c r="X265" s="22">
        <f t="shared" si="133"/>
        <v>0</v>
      </c>
      <c r="Y265" s="22">
        <f t="shared" si="133"/>
        <v>0</v>
      </c>
      <c r="Z265" s="22">
        <f t="shared" si="133"/>
        <v>0</v>
      </c>
      <c r="AA265" s="22">
        <f t="shared" si="133"/>
        <v>0</v>
      </c>
      <c r="AB265" s="1"/>
      <c r="AC265" s="5">
        <f t="shared" si="112"/>
        <v>33</v>
      </c>
      <c r="AD265" s="5">
        <f t="shared" si="113"/>
        <v>27</v>
      </c>
      <c r="AE265" s="5">
        <f t="shared" si="114"/>
        <v>60</v>
      </c>
      <c r="AF265" s="5">
        <f t="shared" si="115"/>
        <v>0</v>
      </c>
      <c r="AG265" s="5">
        <f t="shared" si="116"/>
        <v>0</v>
      </c>
      <c r="AH265" s="5">
        <f t="shared" si="117"/>
        <v>0</v>
      </c>
      <c r="AI265" s="5">
        <f t="shared" si="118"/>
        <v>0</v>
      </c>
      <c r="AJ265" s="5">
        <f t="shared" si="119"/>
        <v>0</v>
      </c>
      <c r="AK265" s="5">
        <f t="shared" si="120"/>
        <v>0</v>
      </c>
      <c r="AL265" s="5">
        <f t="shared" si="121"/>
        <v>0</v>
      </c>
      <c r="AM265" s="5">
        <f t="shared" si="122"/>
        <v>0</v>
      </c>
      <c r="AN265" s="5">
        <f t="shared" si="123"/>
        <v>0</v>
      </c>
      <c r="AO265" s="5">
        <f t="shared" si="124"/>
        <v>0</v>
      </c>
      <c r="AP265" s="5">
        <f t="shared" si="125"/>
        <v>0</v>
      </c>
      <c r="AQ265" s="5">
        <f t="shared" si="126"/>
        <v>0</v>
      </c>
      <c r="AR265" s="5">
        <f t="shared" si="127"/>
        <v>0</v>
      </c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M265" s="40">
        <f>IF(OR(V264=4,V264=8,V264=12,V264=16,V264=20),$CA$1,0)</f>
        <v>0</v>
      </c>
      <c r="BN265" s="40">
        <f>IF(OR(W264=4,W264=8,W264=12,W264=16,W264=20),$CA$1,0)</f>
        <v>0</v>
      </c>
      <c r="BO265" s="40">
        <f>IF(OR(X264=4,X264=8,X264=12,X264=16,X264=20),$CA$1,0)</f>
        <v>0</v>
      </c>
      <c r="BP265" s="40">
        <f>IF(OR(Y264=4,Y264=8,Y264=12,Y264=16,Y264=20),$CA$1,0)</f>
        <v>0</v>
      </c>
      <c r="BQ265" s="40">
        <f>IF(OR(Z264=4,Z264=8,Z264=12,Z264=16,Z264=20),$CA$1,0)</f>
        <v>0</v>
      </c>
      <c r="BR265" s="40">
        <f>IF(OR(AA264=4,AA264=8,AA264=12,AA264=16,AA264=20),$CA$1,0)</f>
        <v>0</v>
      </c>
      <c r="BS265" s="40">
        <f>IF(V261=20,$CB$1,0)</f>
        <v>0</v>
      </c>
      <c r="BT265" s="40">
        <f>IF(W261=20,$CB$1,0)</f>
        <v>0</v>
      </c>
      <c r="BU265" s="40">
        <f>IF(X261=20,$CB$1,0)</f>
        <v>0</v>
      </c>
      <c r="BV265" s="40">
        <f>IF(Y261=20,$CB$1,0)</f>
        <v>0</v>
      </c>
      <c r="BW265" s="40">
        <f>IF(Z261=20,$CB$1,0)</f>
        <v>0</v>
      </c>
      <c r="BX265" s="40">
        <f>IF(AA261=20,$CB$1,0)</f>
        <v>0</v>
      </c>
      <c r="BY265" s="41">
        <f t="shared" si="139"/>
        <v>0</v>
      </c>
      <c r="BZ265" s="41">
        <f t="shared" si="140"/>
        <v>0</v>
      </c>
      <c r="CA265" s="58">
        <f t="shared" si="130"/>
        <v>44928</v>
      </c>
      <c r="CB265" s="47">
        <f t="shared" si="141"/>
        <v>0</v>
      </c>
    </row>
    <row r="266" spans="2:80" ht="15" hidden="1" outlineLevel="1" x14ac:dyDescent="0.2">
      <c r="B266" s="18">
        <f t="shared" si="134"/>
        <v>44935</v>
      </c>
      <c r="C266" s="17" t="s">
        <v>1</v>
      </c>
      <c r="D266" s="19">
        <f t="shared" si="135"/>
        <v>44941</v>
      </c>
      <c r="E266" s="20">
        <f t="shared" si="136"/>
        <v>1</v>
      </c>
      <c r="F266" s="21">
        <f t="shared" si="137"/>
        <v>2023</v>
      </c>
      <c r="G266" s="11">
        <f t="shared" si="138"/>
        <v>22</v>
      </c>
      <c r="H266" s="10">
        <f t="shared" si="138"/>
        <v>66</v>
      </c>
      <c r="I266" s="11"/>
      <c r="J266" s="11"/>
      <c r="K266" s="11"/>
      <c r="L266" s="11"/>
      <c r="M266" s="11"/>
      <c r="N266" s="11"/>
      <c r="O266" s="14"/>
      <c r="P266" s="14"/>
      <c r="Q266" s="14"/>
      <c r="R266" s="14"/>
      <c r="S266" s="14"/>
      <c r="T266" s="14"/>
      <c r="V266" s="22">
        <f t="shared" si="133"/>
        <v>7</v>
      </c>
      <c r="W266" s="22">
        <f t="shared" si="133"/>
        <v>0</v>
      </c>
      <c r="X266" s="22">
        <f t="shared" si="133"/>
        <v>0</v>
      </c>
      <c r="Y266" s="22">
        <f t="shared" si="133"/>
        <v>0</v>
      </c>
      <c r="Z266" s="22">
        <f t="shared" si="133"/>
        <v>0</v>
      </c>
      <c r="AA266" s="22">
        <f t="shared" si="133"/>
        <v>0</v>
      </c>
      <c r="AB266" s="1"/>
      <c r="AC266" s="5">
        <f t="shared" si="112"/>
        <v>34</v>
      </c>
      <c r="AD266" s="5">
        <f t="shared" si="113"/>
        <v>28</v>
      </c>
      <c r="AE266" s="5">
        <f t="shared" si="114"/>
        <v>61</v>
      </c>
      <c r="AF266" s="5">
        <f t="shared" si="115"/>
        <v>0</v>
      </c>
      <c r="AG266" s="5">
        <f t="shared" si="116"/>
        <v>0</v>
      </c>
      <c r="AH266" s="5">
        <f t="shared" si="117"/>
        <v>0</v>
      </c>
      <c r="AI266" s="5">
        <f t="shared" si="118"/>
        <v>0</v>
      </c>
      <c r="AJ266" s="5">
        <f t="shared" si="119"/>
        <v>0</v>
      </c>
      <c r="AK266" s="5">
        <f t="shared" si="120"/>
        <v>0</v>
      </c>
      <c r="AL266" s="5">
        <f t="shared" si="121"/>
        <v>0</v>
      </c>
      <c r="AM266" s="5">
        <f t="shared" si="122"/>
        <v>0</v>
      </c>
      <c r="AN266" s="5">
        <f t="shared" si="123"/>
        <v>0</v>
      </c>
      <c r="AO266" s="5">
        <f t="shared" si="124"/>
        <v>0</v>
      </c>
      <c r="AP266" s="5">
        <f t="shared" si="125"/>
        <v>0</v>
      </c>
      <c r="AQ266" s="5">
        <f t="shared" si="126"/>
        <v>0</v>
      </c>
      <c r="AR266" s="5">
        <f t="shared" si="127"/>
        <v>0</v>
      </c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M266" s="40">
        <f>IF(OR(V265=4,V265=8,V265=12,V265=16,V265=20),$CA$1,0)</f>
        <v>0</v>
      </c>
      <c r="BN266" s="40">
        <f>IF(OR(W265=4,W265=8,W265=12,W265=16,W265=20),$CA$1,0)</f>
        <v>0</v>
      </c>
      <c r="BO266" s="40">
        <f>IF(OR(X265=4,X265=8,X265=12,X265=16,X265=20),$CA$1,0)</f>
        <v>0</v>
      </c>
      <c r="BP266" s="40">
        <f>IF(OR(Y265=4,Y265=8,Y265=12,Y265=16,Y265=20),$CA$1,0)</f>
        <v>0</v>
      </c>
      <c r="BQ266" s="40">
        <f>IF(OR(Z265=4,Z265=8,Z265=12,Z265=16,Z265=20),$CA$1,0)</f>
        <v>0</v>
      </c>
      <c r="BR266" s="40">
        <f>IF(OR(AA265=4,AA265=8,AA265=12,AA265=16,AA265=20),$CA$1,0)</f>
        <v>0</v>
      </c>
      <c r="BS266" s="40">
        <f>IF(V262=20,$CB$1,0)</f>
        <v>0</v>
      </c>
      <c r="BT266" s="40">
        <f>IF(W262=20,$CB$1,0)</f>
        <v>0</v>
      </c>
      <c r="BU266" s="40">
        <f>IF(X262=20,$CB$1,0)</f>
        <v>0</v>
      </c>
      <c r="BV266" s="40">
        <f>IF(Y262=20,$CB$1,0)</f>
        <v>0</v>
      </c>
      <c r="BW266" s="40">
        <f>IF(Z262=20,$CB$1,0)</f>
        <v>0</v>
      </c>
      <c r="BX266" s="40">
        <f>IF(AA262=20,$CB$1,0)</f>
        <v>0</v>
      </c>
      <c r="BY266" s="41">
        <f t="shared" si="139"/>
        <v>0</v>
      </c>
      <c r="BZ266" s="41">
        <f t="shared" si="140"/>
        <v>0</v>
      </c>
      <c r="CA266" s="58">
        <f t="shared" si="130"/>
        <v>44935</v>
      </c>
      <c r="CB266" s="47">
        <f t="shared" si="141"/>
        <v>0</v>
      </c>
    </row>
    <row r="267" spans="2:80" ht="15" hidden="1" outlineLevel="1" x14ac:dyDescent="0.2">
      <c r="B267" s="18">
        <f t="shared" si="134"/>
        <v>44942</v>
      </c>
      <c r="C267" s="17" t="s">
        <v>1</v>
      </c>
      <c r="D267" s="19">
        <f t="shared" si="135"/>
        <v>44948</v>
      </c>
      <c r="E267" s="20">
        <f t="shared" si="136"/>
        <v>1</v>
      </c>
      <c r="F267" s="21">
        <f t="shared" si="137"/>
        <v>2023</v>
      </c>
      <c r="G267" s="11">
        <f t="shared" si="138"/>
        <v>22</v>
      </c>
      <c r="H267" s="10">
        <f t="shared" si="138"/>
        <v>66</v>
      </c>
      <c r="I267" s="11"/>
      <c r="J267" s="11"/>
      <c r="K267" s="11"/>
      <c r="L267" s="11"/>
      <c r="M267" s="11"/>
      <c r="N267" s="11"/>
      <c r="O267" s="14"/>
      <c r="P267" s="14"/>
      <c r="Q267" s="14"/>
      <c r="R267" s="14"/>
      <c r="S267" s="14"/>
      <c r="T267" s="14"/>
      <c r="V267" s="22">
        <f t="shared" si="133"/>
        <v>8</v>
      </c>
      <c r="W267" s="22">
        <f t="shared" si="133"/>
        <v>0</v>
      </c>
      <c r="X267" s="22">
        <f t="shared" si="133"/>
        <v>0</v>
      </c>
      <c r="Y267" s="22">
        <f t="shared" si="133"/>
        <v>0</v>
      </c>
      <c r="Z267" s="22">
        <f t="shared" si="133"/>
        <v>0</v>
      </c>
      <c r="AA267" s="22">
        <f t="shared" si="133"/>
        <v>0</v>
      </c>
      <c r="AB267" s="1"/>
      <c r="AC267" s="5">
        <f t="shared" si="112"/>
        <v>35</v>
      </c>
      <c r="AD267" s="5">
        <f t="shared" si="113"/>
        <v>29</v>
      </c>
      <c r="AE267" s="5">
        <f t="shared" si="114"/>
        <v>62</v>
      </c>
      <c r="AF267" s="5">
        <f t="shared" si="115"/>
        <v>0</v>
      </c>
      <c r="AG267" s="5">
        <f t="shared" si="116"/>
        <v>0</v>
      </c>
      <c r="AH267" s="5">
        <f t="shared" si="117"/>
        <v>0</v>
      </c>
      <c r="AI267" s="5">
        <f t="shared" si="118"/>
        <v>0</v>
      </c>
      <c r="AJ267" s="5">
        <f t="shared" si="119"/>
        <v>0</v>
      </c>
      <c r="AK267" s="5">
        <f t="shared" si="120"/>
        <v>0</v>
      </c>
      <c r="AL267" s="5">
        <f t="shared" si="121"/>
        <v>0</v>
      </c>
      <c r="AM267" s="5">
        <f t="shared" si="122"/>
        <v>0</v>
      </c>
      <c r="AN267" s="5">
        <f t="shared" si="123"/>
        <v>0</v>
      </c>
      <c r="AO267" s="5">
        <f t="shared" si="124"/>
        <v>0</v>
      </c>
      <c r="AP267" s="5">
        <f t="shared" si="125"/>
        <v>0</v>
      </c>
      <c r="AQ267" s="5">
        <f t="shared" si="126"/>
        <v>0</v>
      </c>
      <c r="AR267" s="5">
        <f t="shared" si="127"/>
        <v>0</v>
      </c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M267" s="40">
        <f>IF(OR(V266=4,V266=8,V266=12,V266=16,V266=20),$CA$1,0)</f>
        <v>0</v>
      </c>
      <c r="BN267" s="40">
        <f>IF(OR(W266=4,W266=8,W266=12,W266=16,W266=20),$CA$1,0)</f>
        <v>0</v>
      </c>
      <c r="BO267" s="40">
        <f>IF(OR(X266=4,X266=8,X266=12,X266=16,X266=20),$CA$1,0)</f>
        <v>0</v>
      </c>
      <c r="BP267" s="40">
        <f>IF(OR(Y266=4,Y266=8,Y266=12,Y266=16,Y266=20),$CA$1,0)</f>
        <v>0</v>
      </c>
      <c r="BQ267" s="40">
        <f>IF(OR(Z266=4,Z266=8,Z266=12,Z266=16,Z266=20),$CA$1,0)</f>
        <v>0</v>
      </c>
      <c r="BR267" s="40">
        <f>IF(OR(AA266=4,AA266=8,AA266=12,AA266=16,AA266=20),$CA$1,0)</f>
        <v>0</v>
      </c>
      <c r="BS267" s="40">
        <f>IF(V263=20,$CB$1,0)</f>
        <v>0</v>
      </c>
      <c r="BT267" s="40">
        <f>IF(W263=20,$CB$1,0)</f>
        <v>0</v>
      </c>
      <c r="BU267" s="40">
        <f>IF(X263=20,$CB$1,0)</f>
        <v>0</v>
      </c>
      <c r="BV267" s="40">
        <f>IF(Y263=20,$CB$1,0)</f>
        <v>0</v>
      </c>
      <c r="BW267" s="40">
        <f>IF(Z263=20,$CB$1,0)</f>
        <v>0</v>
      </c>
      <c r="BX267" s="40">
        <f>IF(AA263=20,$CB$1,0)</f>
        <v>0</v>
      </c>
      <c r="BY267" s="41">
        <f t="shared" si="139"/>
        <v>0</v>
      </c>
      <c r="BZ267" s="41">
        <f t="shared" si="140"/>
        <v>0</v>
      </c>
      <c r="CA267" s="58">
        <f t="shared" si="130"/>
        <v>44942</v>
      </c>
      <c r="CB267" s="47">
        <f t="shared" si="141"/>
        <v>0</v>
      </c>
    </row>
    <row r="268" spans="2:80" ht="15" hidden="1" outlineLevel="1" x14ac:dyDescent="0.2">
      <c r="B268" s="18">
        <f t="shared" si="134"/>
        <v>44949</v>
      </c>
      <c r="C268" s="17" t="s">
        <v>1</v>
      </c>
      <c r="D268" s="19">
        <f t="shared" si="135"/>
        <v>44955</v>
      </c>
      <c r="E268" s="20">
        <f t="shared" si="136"/>
        <v>1</v>
      </c>
      <c r="F268" s="21">
        <f t="shared" si="137"/>
        <v>2023</v>
      </c>
      <c r="G268" s="11">
        <f t="shared" si="138"/>
        <v>22</v>
      </c>
      <c r="H268" s="10">
        <f t="shared" si="138"/>
        <v>66</v>
      </c>
      <c r="I268" s="11"/>
      <c r="J268" s="11"/>
      <c r="K268" s="11"/>
      <c r="L268" s="11"/>
      <c r="M268" s="11"/>
      <c r="N268" s="11"/>
      <c r="O268" s="14"/>
      <c r="P268" s="14"/>
      <c r="Q268" s="14"/>
      <c r="R268" s="14"/>
      <c r="S268" s="14"/>
      <c r="T268" s="14"/>
      <c r="V268" s="22">
        <f t="shared" si="133"/>
        <v>9</v>
      </c>
      <c r="W268" s="22">
        <f t="shared" si="133"/>
        <v>0</v>
      </c>
      <c r="X268" s="22">
        <f t="shared" si="133"/>
        <v>0</v>
      </c>
      <c r="Y268" s="22">
        <f t="shared" si="133"/>
        <v>0</v>
      </c>
      <c r="Z268" s="22">
        <f t="shared" si="133"/>
        <v>0</v>
      </c>
      <c r="AA268" s="22">
        <f t="shared" si="133"/>
        <v>0</v>
      </c>
      <c r="AB268" s="1"/>
      <c r="AC268" s="5">
        <f t="shared" si="112"/>
        <v>36</v>
      </c>
      <c r="AD268" s="5">
        <f t="shared" si="113"/>
        <v>30</v>
      </c>
      <c r="AE268" s="5">
        <f t="shared" si="114"/>
        <v>63</v>
      </c>
      <c r="AF268" s="5">
        <f t="shared" si="115"/>
        <v>0</v>
      </c>
      <c r="AG268" s="5">
        <f t="shared" si="116"/>
        <v>0</v>
      </c>
      <c r="AH268" s="5">
        <f t="shared" si="117"/>
        <v>0</v>
      </c>
      <c r="AI268" s="5">
        <f t="shared" si="118"/>
        <v>0</v>
      </c>
      <c r="AJ268" s="5">
        <f t="shared" si="119"/>
        <v>0</v>
      </c>
      <c r="AK268" s="5">
        <f t="shared" si="120"/>
        <v>0</v>
      </c>
      <c r="AL268" s="5">
        <f t="shared" si="121"/>
        <v>0</v>
      </c>
      <c r="AM268" s="5">
        <f t="shared" si="122"/>
        <v>0</v>
      </c>
      <c r="AN268" s="5">
        <f t="shared" si="123"/>
        <v>0</v>
      </c>
      <c r="AO268" s="5">
        <f t="shared" si="124"/>
        <v>0</v>
      </c>
      <c r="AP268" s="5">
        <f t="shared" si="125"/>
        <v>0</v>
      </c>
      <c r="AQ268" s="5">
        <f t="shared" si="126"/>
        <v>0</v>
      </c>
      <c r="AR268" s="5">
        <f t="shared" si="127"/>
        <v>0</v>
      </c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M268" s="40">
        <f>IF(OR(V267=4,V267=8,V267=12,V267=16,V267=20),$CA$1,0)</f>
        <v>161491.14583333334</v>
      </c>
      <c r="BN268" s="40">
        <f>IF(OR(W267=4,W267=8,W267=12,W267=16,W267=20),$CA$1,0)</f>
        <v>0</v>
      </c>
      <c r="BO268" s="40">
        <f>IF(OR(X267=4,X267=8,X267=12,X267=16,X267=20),$CA$1,0)</f>
        <v>0</v>
      </c>
      <c r="BP268" s="40">
        <f>IF(OR(Y267=4,Y267=8,Y267=12,Y267=16,Y267=20),$CA$1,0)</f>
        <v>0</v>
      </c>
      <c r="BQ268" s="40">
        <f>IF(OR(Z267=4,Z267=8,Z267=12,Z267=16,Z267=20),$CA$1,0)</f>
        <v>0</v>
      </c>
      <c r="BR268" s="40">
        <f>IF(OR(AA267=4,AA267=8,AA267=12,AA267=16,AA267=20),$CA$1,0)</f>
        <v>0</v>
      </c>
      <c r="BS268" s="40">
        <f>IF(V264=20,$CB$1,0)</f>
        <v>0</v>
      </c>
      <c r="BT268" s="40">
        <f>IF(W264=20,$CB$1,0)</f>
        <v>0</v>
      </c>
      <c r="BU268" s="40">
        <f>IF(X264=20,$CB$1,0)</f>
        <v>0</v>
      </c>
      <c r="BV268" s="40">
        <f>IF(Y264=20,$CB$1,0)</f>
        <v>0</v>
      </c>
      <c r="BW268" s="40">
        <f>IF(Z264=20,$CB$1,0)</f>
        <v>0</v>
      </c>
      <c r="BX268" s="40">
        <f>IF(AA264=20,$CB$1,0)</f>
        <v>0</v>
      </c>
      <c r="BY268" s="41">
        <f t="shared" si="139"/>
        <v>161491.14583333334</v>
      </c>
      <c r="BZ268" s="41">
        <f t="shared" si="140"/>
        <v>161491.14583333334</v>
      </c>
      <c r="CA268" s="58">
        <f t="shared" si="130"/>
        <v>44949</v>
      </c>
      <c r="CB268" s="47">
        <f t="shared" si="141"/>
        <v>0</v>
      </c>
    </row>
    <row r="269" spans="2:80" ht="15" hidden="1" outlineLevel="1" x14ac:dyDescent="0.2">
      <c r="B269" s="18">
        <f t="shared" si="134"/>
        <v>44956</v>
      </c>
      <c r="C269" s="17" t="s">
        <v>1</v>
      </c>
      <c r="D269" s="19">
        <f t="shared" si="135"/>
        <v>44962</v>
      </c>
      <c r="E269" s="20">
        <f t="shared" si="136"/>
        <v>1</v>
      </c>
      <c r="F269" s="21">
        <f t="shared" si="137"/>
        <v>2023</v>
      </c>
      <c r="G269" s="11">
        <f t="shared" si="138"/>
        <v>22</v>
      </c>
      <c r="H269" s="10">
        <f t="shared" si="138"/>
        <v>66</v>
      </c>
      <c r="I269" s="11"/>
      <c r="J269" s="11"/>
      <c r="K269" s="11"/>
      <c r="L269" s="11"/>
      <c r="M269" s="11"/>
      <c r="N269" s="11"/>
      <c r="O269" s="14"/>
      <c r="P269" s="14"/>
      <c r="Q269" s="14"/>
      <c r="R269" s="14"/>
      <c r="S269" s="14"/>
      <c r="T269" s="14"/>
      <c r="V269" s="22">
        <f t="shared" si="133"/>
        <v>10</v>
      </c>
      <c r="W269" s="22">
        <f t="shared" si="133"/>
        <v>0</v>
      </c>
      <c r="X269" s="22">
        <f t="shared" si="133"/>
        <v>0</v>
      </c>
      <c r="Y269" s="22">
        <f t="shared" si="133"/>
        <v>0</v>
      </c>
      <c r="Z269" s="22">
        <f t="shared" si="133"/>
        <v>0</v>
      </c>
      <c r="AA269" s="22">
        <f t="shared" si="133"/>
        <v>0</v>
      </c>
      <c r="AB269" s="1"/>
      <c r="AC269" s="5">
        <f t="shared" si="112"/>
        <v>37</v>
      </c>
      <c r="AD269" s="5">
        <f t="shared" si="113"/>
        <v>31</v>
      </c>
      <c r="AE269" s="5">
        <f t="shared" si="114"/>
        <v>64</v>
      </c>
      <c r="AF269" s="5">
        <f t="shared" si="115"/>
        <v>0</v>
      </c>
      <c r="AG269" s="5">
        <f t="shared" si="116"/>
        <v>0</v>
      </c>
      <c r="AH269" s="5">
        <f t="shared" si="117"/>
        <v>0</v>
      </c>
      <c r="AI269" s="5">
        <f t="shared" si="118"/>
        <v>0</v>
      </c>
      <c r="AJ269" s="5">
        <f t="shared" si="119"/>
        <v>0</v>
      </c>
      <c r="AK269" s="5">
        <f t="shared" si="120"/>
        <v>0</v>
      </c>
      <c r="AL269" s="5">
        <f t="shared" si="121"/>
        <v>0</v>
      </c>
      <c r="AM269" s="5">
        <f t="shared" si="122"/>
        <v>0</v>
      </c>
      <c r="AN269" s="5">
        <f t="shared" si="123"/>
        <v>0</v>
      </c>
      <c r="AO269" s="5">
        <f t="shared" si="124"/>
        <v>0</v>
      </c>
      <c r="AP269" s="5">
        <f t="shared" si="125"/>
        <v>0</v>
      </c>
      <c r="AQ269" s="5">
        <f t="shared" si="126"/>
        <v>0</v>
      </c>
      <c r="AR269" s="5">
        <f t="shared" si="127"/>
        <v>0</v>
      </c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M269" s="40">
        <f>IF(OR(V268=4,V268=8,V268=12,V268=16,V268=20),$CA$1,0)</f>
        <v>0</v>
      </c>
      <c r="BN269" s="40">
        <f>IF(OR(W268=4,W268=8,W268=12,W268=16,W268=20),$CA$1,0)</f>
        <v>0</v>
      </c>
      <c r="BO269" s="40">
        <f>IF(OR(X268=4,X268=8,X268=12,X268=16,X268=20),$CA$1,0)</f>
        <v>0</v>
      </c>
      <c r="BP269" s="40">
        <f>IF(OR(Y268=4,Y268=8,Y268=12,Y268=16,Y268=20),$CA$1,0)</f>
        <v>0</v>
      </c>
      <c r="BQ269" s="40">
        <f>IF(OR(Z268=4,Z268=8,Z268=12,Z268=16,Z268=20),$CA$1,0)</f>
        <v>0</v>
      </c>
      <c r="BR269" s="40">
        <f>IF(OR(AA268=4,AA268=8,AA268=12,AA268=16,AA268=20),$CA$1,0)</f>
        <v>0</v>
      </c>
      <c r="BS269" s="40">
        <f>IF(V265=20,$CB$1,0)</f>
        <v>0</v>
      </c>
      <c r="BT269" s="40">
        <f>IF(W265=20,$CB$1,0)</f>
        <v>0</v>
      </c>
      <c r="BU269" s="40">
        <f>IF(X265=20,$CB$1,0)</f>
        <v>0</v>
      </c>
      <c r="BV269" s="40">
        <f>IF(Y265=20,$CB$1,0)</f>
        <v>0</v>
      </c>
      <c r="BW269" s="40">
        <f>IF(Z265=20,$CB$1,0)</f>
        <v>0</v>
      </c>
      <c r="BX269" s="40">
        <f>IF(AA265=20,$CB$1,0)</f>
        <v>0</v>
      </c>
      <c r="BY269" s="41">
        <f t="shared" si="139"/>
        <v>0</v>
      </c>
      <c r="BZ269" s="41">
        <f t="shared" si="140"/>
        <v>161491.14583333334</v>
      </c>
      <c r="CA269" s="58">
        <f t="shared" si="130"/>
        <v>44956</v>
      </c>
      <c r="CB269" s="47">
        <f t="shared" si="141"/>
        <v>161491.14583333334</v>
      </c>
    </row>
    <row r="270" spans="2:80" ht="15" hidden="1" outlineLevel="1" x14ac:dyDescent="0.2">
      <c r="B270" s="18">
        <f t="shared" si="134"/>
        <v>44963</v>
      </c>
      <c r="C270" s="17" t="s">
        <v>1</v>
      </c>
      <c r="D270" s="19">
        <f t="shared" si="135"/>
        <v>44969</v>
      </c>
      <c r="E270" s="20">
        <f t="shared" si="136"/>
        <v>2</v>
      </c>
      <c r="F270" s="21">
        <f t="shared" si="137"/>
        <v>2023</v>
      </c>
      <c r="G270" s="11">
        <f t="shared" si="138"/>
        <v>22</v>
      </c>
      <c r="H270" s="10">
        <f t="shared" si="138"/>
        <v>66</v>
      </c>
      <c r="I270" s="11"/>
      <c r="J270" s="11"/>
      <c r="K270" s="11"/>
      <c r="L270" s="11"/>
      <c r="M270" s="11"/>
      <c r="N270" s="11"/>
      <c r="O270" s="14"/>
      <c r="P270" s="14"/>
      <c r="Q270" s="14"/>
      <c r="R270" s="14"/>
      <c r="S270" s="14"/>
      <c r="T270" s="14"/>
      <c r="V270" s="22">
        <f t="shared" si="133"/>
        <v>11</v>
      </c>
      <c r="W270" s="22">
        <f t="shared" si="133"/>
        <v>0</v>
      </c>
      <c r="X270" s="22">
        <f t="shared" si="133"/>
        <v>0</v>
      </c>
      <c r="Y270" s="22">
        <f t="shared" si="133"/>
        <v>0</v>
      </c>
      <c r="Z270" s="22">
        <f t="shared" si="133"/>
        <v>0</v>
      </c>
      <c r="AA270" s="22">
        <f t="shared" si="133"/>
        <v>0</v>
      </c>
      <c r="AB270" s="1"/>
      <c r="AC270" s="5">
        <f t="shared" si="112"/>
        <v>38</v>
      </c>
      <c r="AD270" s="5">
        <f t="shared" si="113"/>
        <v>32</v>
      </c>
      <c r="AE270" s="5">
        <f t="shared" si="114"/>
        <v>65</v>
      </c>
      <c r="AF270" s="5">
        <f t="shared" si="115"/>
        <v>0</v>
      </c>
      <c r="AG270" s="5">
        <f t="shared" si="116"/>
        <v>0</v>
      </c>
      <c r="AH270" s="5">
        <f t="shared" si="117"/>
        <v>0</v>
      </c>
      <c r="AI270" s="5">
        <f t="shared" si="118"/>
        <v>0</v>
      </c>
      <c r="AJ270" s="5">
        <f t="shared" si="119"/>
        <v>0</v>
      </c>
      <c r="AK270" s="5">
        <f t="shared" si="120"/>
        <v>0</v>
      </c>
      <c r="AL270" s="5">
        <f t="shared" si="121"/>
        <v>0</v>
      </c>
      <c r="AM270" s="5">
        <f t="shared" si="122"/>
        <v>0</v>
      </c>
      <c r="AN270" s="5">
        <f t="shared" si="123"/>
        <v>0</v>
      </c>
      <c r="AO270" s="5">
        <f t="shared" si="124"/>
        <v>0</v>
      </c>
      <c r="AP270" s="5">
        <f t="shared" si="125"/>
        <v>0</v>
      </c>
      <c r="AQ270" s="5">
        <f t="shared" si="126"/>
        <v>0</v>
      </c>
      <c r="AR270" s="5">
        <f t="shared" si="127"/>
        <v>0</v>
      </c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M270" s="40">
        <f>IF(OR(V269=4,V269=8,V269=12,V269=16,V269=20),$CA$1,0)</f>
        <v>0</v>
      </c>
      <c r="BN270" s="40">
        <f>IF(OR(W269=4,W269=8,W269=12,W269=16,W269=20),$CA$1,0)</f>
        <v>0</v>
      </c>
      <c r="BO270" s="40">
        <f>IF(OR(X269=4,X269=8,X269=12,X269=16,X269=20),$CA$1,0)</f>
        <v>0</v>
      </c>
      <c r="BP270" s="40">
        <f>IF(OR(Y269=4,Y269=8,Y269=12,Y269=16,Y269=20),$CA$1,0)</f>
        <v>0</v>
      </c>
      <c r="BQ270" s="40">
        <f>IF(OR(Z269=4,Z269=8,Z269=12,Z269=16,Z269=20),$CA$1,0)</f>
        <v>0</v>
      </c>
      <c r="BR270" s="40">
        <f>IF(OR(AA269=4,AA269=8,AA269=12,AA269=16,AA269=20),$CA$1,0)</f>
        <v>0</v>
      </c>
      <c r="BS270" s="40">
        <f>IF(V266=20,$CB$1,0)</f>
        <v>0</v>
      </c>
      <c r="BT270" s="40">
        <f>IF(W266=20,$CB$1,0)</f>
        <v>0</v>
      </c>
      <c r="BU270" s="40">
        <f>IF(X266=20,$CB$1,0)</f>
        <v>0</v>
      </c>
      <c r="BV270" s="40">
        <f>IF(Y266=20,$CB$1,0)</f>
        <v>0</v>
      </c>
      <c r="BW270" s="40">
        <f>IF(Z266=20,$CB$1,0)</f>
        <v>0</v>
      </c>
      <c r="BX270" s="40">
        <f>IF(AA266=20,$CB$1,0)</f>
        <v>0</v>
      </c>
      <c r="BY270" s="41">
        <f t="shared" si="139"/>
        <v>0</v>
      </c>
      <c r="BZ270" s="41">
        <f t="shared" si="140"/>
        <v>0</v>
      </c>
      <c r="CA270" s="58">
        <f t="shared" si="130"/>
        <v>44963</v>
      </c>
      <c r="CB270" s="47">
        <f t="shared" si="141"/>
        <v>0</v>
      </c>
    </row>
    <row r="271" spans="2:80" ht="15" hidden="1" outlineLevel="1" x14ac:dyDescent="0.2">
      <c r="B271" s="18">
        <f t="shared" si="134"/>
        <v>44970</v>
      </c>
      <c r="C271" s="17" t="s">
        <v>1</v>
      </c>
      <c r="D271" s="19">
        <f t="shared" si="135"/>
        <v>44976</v>
      </c>
      <c r="E271" s="20">
        <f t="shared" si="136"/>
        <v>2</v>
      </c>
      <c r="F271" s="21">
        <f t="shared" si="137"/>
        <v>2023</v>
      </c>
      <c r="G271" s="11">
        <f t="shared" si="138"/>
        <v>22</v>
      </c>
      <c r="H271" s="10">
        <f t="shared" si="138"/>
        <v>66</v>
      </c>
      <c r="I271" s="11"/>
      <c r="J271" s="11"/>
      <c r="K271" s="11"/>
      <c r="L271" s="11"/>
      <c r="M271" s="11"/>
      <c r="N271" s="11"/>
      <c r="O271" s="14"/>
      <c r="P271" s="14"/>
      <c r="Q271" s="14"/>
      <c r="R271" s="14"/>
      <c r="S271" s="14"/>
      <c r="T271" s="14"/>
      <c r="V271" s="22">
        <f t="shared" si="133"/>
        <v>12</v>
      </c>
      <c r="W271" s="22">
        <f t="shared" si="133"/>
        <v>0</v>
      </c>
      <c r="X271" s="22">
        <f t="shared" si="133"/>
        <v>0</v>
      </c>
      <c r="Y271" s="22">
        <f t="shared" si="133"/>
        <v>0</v>
      </c>
      <c r="Z271" s="22">
        <f t="shared" si="133"/>
        <v>0</v>
      </c>
      <c r="AA271" s="22">
        <f t="shared" si="133"/>
        <v>0</v>
      </c>
      <c r="AB271" s="1"/>
      <c r="AC271" s="5">
        <f t="shared" si="112"/>
        <v>39</v>
      </c>
      <c r="AD271" s="5">
        <f t="shared" si="113"/>
        <v>33</v>
      </c>
      <c r="AE271" s="5">
        <f t="shared" si="114"/>
        <v>66</v>
      </c>
      <c r="AF271" s="5">
        <f t="shared" si="115"/>
        <v>0</v>
      </c>
      <c r="AG271" s="5">
        <f t="shared" si="116"/>
        <v>0</v>
      </c>
      <c r="AH271" s="5">
        <f t="shared" si="117"/>
        <v>0</v>
      </c>
      <c r="AI271" s="5">
        <f t="shared" si="118"/>
        <v>0</v>
      </c>
      <c r="AJ271" s="5">
        <f t="shared" si="119"/>
        <v>0</v>
      </c>
      <c r="AK271" s="5">
        <f t="shared" si="120"/>
        <v>0</v>
      </c>
      <c r="AL271" s="5">
        <f t="shared" si="121"/>
        <v>0</v>
      </c>
      <c r="AM271" s="5">
        <f t="shared" si="122"/>
        <v>0</v>
      </c>
      <c r="AN271" s="5">
        <f t="shared" si="123"/>
        <v>0</v>
      </c>
      <c r="AO271" s="5">
        <f t="shared" si="124"/>
        <v>0</v>
      </c>
      <c r="AP271" s="5">
        <f t="shared" si="125"/>
        <v>0</v>
      </c>
      <c r="AQ271" s="5">
        <f t="shared" si="126"/>
        <v>0</v>
      </c>
      <c r="AR271" s="5">
        <f t="shared" si="127"/>
        <v>0</v>
      </c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M271" s="40">
        <f>IF(OR(V270=4,V270=8,V270=12,V270=16,V270=20),$CA$1,0)</f>
        <v>0</v>
      </c>
      <c r="BN271" s="40">
        <f>IF(OR(W270=4,W270=8,W270=12,W270=16,W270=20),$CA$1,0)</f>
        <v>0</v>
      </c>
      <c r="BO271" s="40">
        <f>IF(OR(X270=4,X270=8,X270=12,X270=16,X270=20),$CA$1,0)</f>
        <v>0</v>
      </c>
      <c r="BP271" s="40">
        <f>IF(OR(Y270=4,Y270=8,Y270=12,Y270=16,Y270=20),$CA$1,0)</f>
        <v>0</v>
      </c>
      <c r="BQ271" s="40">
        <f>IF(OR(Z270=4,Z270=8,Z270=12,Z270=16,Z270=20),$CA$1,0)</f>
        <v>0</v>
      </c>
      <c r="BR271" s="40">
        <f>IF(OR(AA270=4,AA270=8,AA270=12,AA270=16,AA270=20),$CA$1,0)</f>
        <v>0</v>
      </c>
      <c r="BS271" s="40">
        <f>IF(V267=20,$CB$1,0)</f>
        <v>0</v>
      </c>
      <c r="BT271" s="40">
        <f>IF(W267=20,$CB$1,0)</f>
        <v>0</v>
      </c>
      <c r="BU271" s="40">
        <f>IF(X267=20,$CB$1,0)</f>
        <v>0</v>
      </c>
      <c r="BV271" s="40">
        <f>IF(Y267=20,$CB$1,0)</f>
        <v>0</v>
      </c>
      <c r="BW271" s="40">
        <f>IF(Z267=20,$CB$1,0)</f>
        <v>0</v>
      </c>
      <c r="BX271" s="40">
        <f>IF(AA267=20,$CB$1,0)</f>
        <v>0</v>
      </c>
      <c r="BY271" s="41">
        <f t="shared" si="139"/>
        <v>0</v>
      </c>
      <c r="BZ271" s="41">
        <f t="shared" si="140"/>
        <v>0</v>
      </c>
      <c r="CA271" s="58">
        <f t="shared" si="130"/>
        <v>44970</v>
      </c>
      <c r="CB271" s="47">
        <f t="shared" si="141"/>
        <v>0</v>
      </c>
    </row>
    <row r="272" spans="2:80" ht="15" hidden="1" outlineLevel="1" x14ac:dyDescent="0.2">
      <c r="B272" s="18">
        <f t="shared" si="134"/>
        <v>44977</v>
      </c>
      <c r="C272" s="17" t="s">
        <v>1</v>
      </c>
      <c r="D272" s="19">
        <f t="shared" si="135"/>
        <v>44983</v>
      </c>
      <c r="E272" s="20">
        <f t="shared" si="136"/>
        <v>2</v>
      </c>
      <c r="F272" s="21">
        <f t="shared" si="137"/>
        <v>2023</v>
      </c>
      <c r="G272" s="11">
        <f t="shared" si="138"/>
        <v>22</v>
      </c>
      <c r="H272" s="10">
        <f t="shared" si="138"/>
        <v>66</v>
      </c>
      <c r="I272" s="11"/>
      <c r="J272" s="11"/>
      <c r="K272" s="11"/>
      <c r="L272" s="11"/>
      <c r="M272" s="11"/>
      <c r="N272" s="11"/>
      <c r="O272" s="14"/>
      <c r="P272" s="14"/>
      <c r="Q272" s="14"/>
      <c r="R272" s="14"/>
      <c r="S272" s="14"/>
      <c r="T272" s="14"/>
      <c r="V272" s="22">
        <f t="shared" si="133"/>
        <v>13</v>
      </c>
      <c r="W272" s="22">
        <f t="shared" si="133"/>
        <v>0</v>
      </c>
      <c r="X272" s="22">
        <f t="shared" si="133"/>
        <v>0</v>
      </c>
      <c r="Y272" s="22">
        <f t="shared" si="133"/>
        <v>0</v>
      </c>
      <c r="Z272" s="22">
        <f t="shared" si="133"/>
        <v>0</v>
      </c>
      <c r="AA272" s="22">
        <f t="shared" si="133"/>
        <v>0</v>
      </c>
      <c r="AB272" s="1"/>
      <c r="AC272" s="5">
        <f t="shared" si="112"/>
        <v>40</v>
      </c>
      <c r="AD272" s="5">
        <f t="shared" si="113"/>
        <v>34</v>
      </c>
      <c r="AE272" s="5">
        <f t="shared" si="114"/>
        <v>0</v>
      </c>
      <c r="AF272" s="5">
        <f t="shared" si="115"/>
        <v>0</v>
      </c>
      <c r="AG272" s="5">
        <f t="shared" si="116"/>
        <v>0</v>
      </c>
      <c r="AH272" s="5">
        <f t="shared" si="117"/>
        <v>0</v>
      </c>
      <c r="AI272" s="5">
        <f t="shared" si="118"/>
        <v>0</v>
      </c>
      <c r="AJ272" s="5">
        <f t="shared" si="119"/>
        <v>0</v>
      </c>
      <c r="AK272" s="5">
        <f t="shared" si="120"/>
        <v>0</v>
      </c>
      <c r="AL272" s="5">
        <f t="shared" si="121"/>
        <v>0</v>
      </c>
      <c r="AM272" s="5">
        <f t="shared" si="122"/>
        <v>0</v>
      </c>
      <c r="AN272" s="5">
        <f t="shared" si="123"/>
        <v>0</v>
      </c>
      <c r="AO272" s="5">
        <f t="shared" si="124"/>
        <v>0</v>
      </c>
      <c r="AP272" s="5">
        <f t="shared" si="125"/>
        <v>0</v>
      </c>
      <c r="AQ272" s="5">
        <f t="shared" si="126"/>
        <v>0</v>
      </c>
      <c r="AR272" s="5">
        <f t="shared" si="127"/>
        <v>0</v>
      </c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M272" s="40">
        <f>IF(OR(V271=4,V271=8,V271=12,V271=16,V271=20),$CA$1,0)</f>
        <v>161491.14583333334</v>
      </c>
      <c r="BN272" s="40">
        <f>IF(OR(W271=4,W271=8,W271=12,W271=16,W271=20),$CA$1,0)</f>
        <v>0</v>
      </c>
      <c r="BO272" s="40">
        <f>IF(OR(X271=4,X271=8,X271=12,X271=16,X271=20),$CA$1,0)</f>
        <v>0</v>
      </c>
      <c r="BP272" s="40">
        <f>IF(OR(Y271=4,Y271=8,Y271=12,Y271=16,Y271=20),$CA$1,0)</f>
        <v>0</v>
      </c>
      <c r="BQ272" s="40">
        <f>IF(OR(Z271=4,Z271=8,Z271=12,Z271=16,Z271=20),$CA$1,0)</f>
        <v>0</v>
      </c>
      <c r="BR272" s="40">
        <f>IF(OR(AA271=4,AA271=8,AA271=12,AA271=16,AA271=20),$CA$1,0)</f>
        <v>0</v>
      </c>
      <c r="BS272" s="40">
        <f>IF(V268=20,$CB$1,0)</f>
        <v>0</v>
      </c>
      <c r="BT272" s="40">
        <f>IF(W268=20,$CB$1,0)</f>
        <v>0</v>
      </c>
      <c r="BU272" s="40">
        <f>IF(X268=20,$CB$1,0)</f>
        <v>0</v>
      </c>
      <c r="BV272" s="40">
        <f>IF(Y268=20,$CB$1,0)</f>
        <v>0</v>
      </c>
      <c r="BW272" s="40">
        <f>IF(Z268=20,$CB$1,0)</f>
        <v>0</v>
      </c>
      <c r="BX272" s="40">
        <f>IF(AA268=20,$CB$1,0)</f>
        <v>0</v>
      </c>
      <c r="BY272" s="41">
        <f t="shared" si="139"/>
        <v>161491.14583333334</v>
      </c>
      <c r="BZ272" s="41">
        <f t="shared" si="140"/>
        <v>161491.14583333334</v>
      </c>
      <c r="CA272" s="58">
        <f t="shared" si="130"/>
        <v>44977</v>
      </c>
      <c r="CB272" s="47">
        <f t="shared" si="141"/>
        <v>0</v>
      </c>
    </row>
    <row r="273" spans="2:80" ht="15" hidden="1" outlineLevel="1" x14ac:dyDescent="0.2">
      <c r="B273" s="18">
        <f t="shared" si="134"/>
        <v>44984</v>
      </c>
      <c r="C273" s="17" t="s">
        <v>1</v>
      </c>
      <c r="D273" s="19">
        <f t="shared" si="135"/>
        <v>44990</v>
      </c>
      <c r="E273" s="20">
        <f t="shared" si="136"/>
        <v>2</v>
      </c>
      <c r="F273" s="21">
        <f t="shared" si="137"/>
        <v>2023</v>
      </c>
      <c r="G273" s="11">
        <f t="shared" si="138"/>
        <v>22</v>
      </c>
      <c r="H273" s="10">
        <f t="shared" si="138"/>
        <v>66</v>
      </c>
      <c r="I273" s="11"/>
      <c r="J273" s="11"/>
      <c r="K273" s="11"/>
      <c r="L273" s="11"/>
      <c r="M273" s="11"/>
      <c r="N273" s="11"/>
      <c r="O273" s="14"/>
      <c r="P273" s="14"/>
      <c r="Q273" s="14"/>
      <c r="R273" s="14"/>
      <c r="S273" s="14"/>
      <c r="T273" s="14"/>
      <c r="V273" s="22">
        <f t="shared" si="133"/>
        <v>14</v>
      </c>
      <c r="W273" s="22">
        <f t="shared" si="133"/>
        <v>0</v>
      </c>
      <c r="X273" s="22">
        <f t="shared" si="133"/>
        <v>0</v>
      </c>
      <c r="Y273" s="22">
        <f t="shared" si="133"/>
        <v>0</v>
      </c>
      <c r="Z273" s="22">
        <f t="shared" si="133"/>
        <v>0</v>
      </c>
      <c r="AA273" s="22">
        <f t="shared" si="133"/>
        <v>0</v>
      </c>
      <c r="AB273" s="1"/>
      <c r="AC273" s="5">
        <f t="shared" si="112"/>
        <v>41</v>
      </c>
      <c r="AD273" s="5">
        <f t="shared" si="113"/>
        <v>35</v>
      </c>
      <c r="AE273" s="5">
        <f t="shared" si="114"/>
        <v>0</v>
      </c>
      <c r="AF273" s="5">
        <f t="shared" si="115"/>
        <v>0</v>
      </c>
      <c r="AG273" s="5">
        <f t="shared" si="116"/>
        <v>0</v>
      </c>
      <c r="AH273" s="5">
        <f t="shared" si="117"/>
        <v>0</v>
      </c>
      <c r="AI273" s="5">
        <f t="shared" si="118"/>
        <v>0</v>
      </c>
      <c r="AJ273" s="5">
        <f t="shared" si="119"/>
        <v>0</v>
      </c>
      <c r="AK273" s="5">
        <f t="shared" si="120"/>
        <v>0</v>
      </c>
      <c r="AL273" s="5">
        <f t="shared" si="121"/>
        <v>0</v>
      </c>
      <c r="AM273" s="5">
        <f t="shared" si="122"/>
        <v>0</v>
      </c>
      <c r="AN273" s="5">
        <f t="shared" si="123"/>
        <v>0</v>
      </c>
      <c r="AO273" s="5">
        <f t="shared" si="124"/>
        <v>0</v>
      </c>
      <c r="AP273" s="5">
        <f t="shared" si="125"/>
        <v>0</v>
      </c>
      <c r="AQ273" s="5">
        <f t="shared" si="126"/>
        <v>0</v>
      </c>
      <c r="AR273" s="5">
        <f t="shared" si="127"/>
        <v>0</v>
      </c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M273" s="40">
        <f>IF(OR(V272=4,V272=8,V272=12,V272=16,V272=20),$CA$1,0)</f>
        <v>0</v>
      </c>
      <c r="BN273" s="40">
        <f>IF(OR(W272=4,W272=8,W272=12,W272=16,W272=20),$CA$1,0)</f>
        <v>0</v>
      </c>
      <c r="BO273" s="40">
        <f>IF(OR(X272=4,X272=8,X272=12,X272=16,X272=20),$CA$1,0)</f>
        <v>0</v>
      </c>
      <c r="BP273" s="40">
        <f>IF(OR(Y272=4,Y272=8,Y272=12,Y272=16,Y272=20),$CA$1,0)</f>
        <v>0</v>
      </c>
      <c r="BQ273" s="40">
        <f>IF(OR(Z272=4,Z272=8,Z272=12,Z272=16,Z272=20),$CA$1,0)</f>
        <v>0</v>
      </c>
      <c r="BR273" s="40">
        <f>IF(OR(AA272=4,AA272=8,AA272=12,AA272=16,AA272=20),$CA$1,0)</f>
        <v>0</v>
      </c>
      <c r="BS273" s="40">
        <f>IF(V269=20,$CB$1,0)</f>
        <v>0</v>
      </c>
      <c r="BT273" s="40">
        <f>IF(W269=20,$CB$1,0)</f>
        <v>0</v>
      </c>
      <c r="BU273" s="40">
        <f>IF(X269=20,$CB$1,0)</f>
        <v>0</v>
      </c>
      <c r="BV273" s="40">
        <f>IF(Y269=20,$CB$1,0)</f>
        <v>0</v>
      </c>
      <c r="BW273" s="40">
        <f>IF(Z269=20,$CB$1,0)</f>
        <v>0</v>
      </c>
      <c r="BX273" s="40">
        <f>IF(AA269=20,$CB$1,0)</f>
        <v>0</v>
      </c>
      <c r="BY273" s="41">
        <f t="shared" si="139"/>
        <v>0</v>
      </c>
      <c r="BZ273" s="41">
        <f t="shared" si="140"/>
        <v>161491.14583333334</v>
      </c>
      <c r="CA273" s="58">
        <f t="shared" si="130"/>
        <v>44984</v>
      </c>
      <c r="CB273" s="47">
        <f t="shared" si="141"/>
        <v>161491.14583333334</v>
      </c>
    </row>
    <row r="274" spans="2:80" ht="15" hidden="1" outlineLevel="1" x14ac:dyDescent="0.2">
      <c r="B274" s="18">
        <f t="shared" si="134"/>
        <v>44991</v>
      </c>
      <c r="C274" s="17" t="s">
        <v>1</v>
      </c>
      <c r="D274" s="19">
        <f t="shared" si="135"/>
        <v>44997</v>
      </c>
      <c r="E274" s="20">
        <f t="shared" si="136"/>
        <v>3</v>
      </c>
      <c r="F274" s="21">
        <f t="shared" si="137"/>
        <v>2023</v>
      </c>
      <c r="G274" s="11">
        <f t="shared" si="138"/>
        <v>22</v>
      </c>
      <c r="H274" s="10">
        <f t="shared" si="138"/>
        <v>66</v>
      </c>
      <c r="I274" s="11"/>
      <c r="J274" s="11"/>
      <c r="K274" s="11"/>
      <c r="L274" s="11"/>
      <c r="M274" s="11"/>
      <c r="N274" s="11"/>
      <c r="O274" s="14"/>
      <c r="P274" s="14"/>
      <c r="Q274" s="14"/>
      <c r="R274" s="14"/>
      <c r="S274" s="14"/>
      <c r="T274" s="14"/>
      <c r="V274" s="22">
        <f t="shared" si="133"/>
        <v>15</v>
      </c>
      <c r="W274" s="22">
        <f t="shared" si="133"/>
        <v>0</v>
      </c>
      <c r="X274" s="22">
        <f t="shared" si="133"/>
        <v>0</v>
      </c>
      <c r="Y274" s="22">
        <f t="shared" si="133"/>
        <v>0</v>
      </c>
      <c r="Z274" s="22">
        <f t="shared" si="133"/>
        <v>0</v>
      </c>
      <c r="AA274" s="22">
        <f t="shared" si="133"/>
        <v>0</v>
      </c>
      <c r="AB274" s="1"/>
      <c r="AC274" s="5">
        <f t="shared" si="112"/>
        <v>42</v>
      </c>
      <c r="AD274" s="5">
        <f t="shared" si="113"/>
        <v>36</v>
      </c>
      <c r="AE274" s="5">
        <f t="shared" si="114"/>
        <v>0</v>
      </c>
      <c r="AF274" s="5">
        <f t="shared" si="115"/>
        <v>0</v>
      </c>
      <c r="AG274" s="5">
        <f t="shared" si="116"/>
        <v>0</v>
      </c>
      <c r="AH274" s="5">
        <f t="shared" si="117"/>
        <v>0</v>
      </c>
      <c r="AI274" s="5">
        <f t="shared" si="118"/>
        <v>0</v>
      </c>
      <c r="AJ274" s="5">
        <f t="shared" si="119"/>
        <v>0</v>
      </c>
      <c r="AK274" s="5">
        <f t="shared" si="120"/>
        <v>0</v>
      </c>
      <c r="AL274" s="5">
        <f t="shared" si="121"/>
        <v>0</v>
      </c>
      <c r="AM274" s="5">
        <f t="shared" si="122"/>
        <v>0</v>
      </c>
      <c r="AN274" s="5">
        <f t="shared" si="123"/>
        <v>0</v>
      </c>
      <c r="AO274" s="5">
        <f t="shared" si="124"/>
        <v>0</v>
      </c>
      <c r="AP274" s="5">
        <f t="shared" si="125"/>
        <v>0</v>
      </c>
      <c r="AQ274" s="5">
        <f t="shared" si="126"/>
        <v>0</v>
      </c>
      <c r="AR274" s="5">
        <f t="shared" si="127"/>
        <v>0</v>
      </c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M274" s="40">
        <f>IF(OR(V273=4,V273=8,V273=12,V273=16,V273=20),$CA$1,0)</f>
        <v>0</v>
      </c>
      <c r="BN274" s="40">
        <f>IF(OR(W273=4,W273=8,W273=12,W273=16,W273=20),$CA$1,0)</f>
        <v>0</v>
      </c>
      <c r="BO274" s="40">
        <f>IF(OR(X273=4,X273=8,X273=12,X273=16,X273=20),$CA$1,0)</f>
        <v>0</v>
      </c>
      <c r="BP274" s="40">
        <f>IF(OR(Y273=4,Y273=8,Y273=12,Y273=16,Y273=20),$CA$1,0)</f>
        <v>0</v>
      </c>
      <c r="BQ274" s="40">
        <f>IF(OR(Z273=4,Z273=8,Z273=12,Z273=16,Z273=20),$CA$1,0)</f>
        <v>0</v>
      </c>
      <c r="BR274" s="40">
        <f>IF(OR(AA273=4,AA273=8,AA273=12,AA273=16,AA273=20),$CA$1,0)</f>
        <v>0</v>
      </c>
      <c r="BS274" s="40">
        <f>IF(V270=20,$CB$1,0)</f>
        <v>0</v>
      </c>
      <c r="BT274" s="40">
        <f>IF(W270=20,$CB$1,0)</f>
        <v>0</v>
      </c>
      <c r="BU274" s="40">
        <f>IF(X270=20,$CB$1,0)</f>
        <v>0</v>
      </c>
      <c r="BV274" s="40">
        <f>IF(Y270=20,$CB$1,0)</f>
        <v>0</v>
      </c>
      <c r="BW274" s="40">
        <f>IF(Z270=20,$CB$1,0)</f>
        <v>0</v>
      </c>
      <c r="BX274" s="40">
        <f>IF(AA270=20,$CB$1,0)</f>
        <v>0</v>
      </c>
      <c r="BY274" s="41">
        <f t="shared" si="139"/>
        <v>0</v>
      </c>
      <c r="BZ274" s="41">
        <f t="shared" si="140"/>
        <v>0</v>
      </c>
      <c r="CA274" s="58">
        <f t="shared" si="130"/>
        <v>44991</v>
      </c>
      <c r="CB274" s="47">
        <f t="shared" si="141"/>
        <v>0</v>
      </c>
    </row>
    <row r="275" spans="2:80" ht="15" hidden="1" outlineLevel="1" x14ac:dyDescent="0.2">
      <c r="B275" s="18">
        <f t="shared" si="134"/>
        <v>44998</v>
      </c>
      <c r="C275" s="17" t="s">
        <v>1</v>
      </c>
      <c r="D275" s="19">
        <f t="shared" si="135"/>
        <v>45004</v>
      </c>
      <c r="E275" s="20">
        <f t="shared" si="136"/>
        <v>3</v>
      </c>
      <c r="F275" s="21">
        <f t="shared" si="137"/>
        <v>2023</v>
      </c>
      <c r="G275" s="11">
        <f t="shared" si="138"/>
        <v>22</v>
      </c>
      <c r="H275" s="10">
        <f t="shared" si="138"/>
        <v>66</v>
      </c>
      <c r="I275" s="11"/>
      <c r="J275" s="11"/>
      <c r="K275" s="11"/>
      <c r="L275" s="11"/>
      <c r="M275" s="11"/>
      <c r="N275" s="11"/>
      <c r="O275" s="14"/>
      <c r="P275" s="14"/>
      <c r="Q275" s="14"/>
      <c r="R275" s="14"/>
      <c r="S275" s="14"/>
      <c r="T275" s="14"/>
      <c r="V275" s="22">
        <f t="shared" si="133"/>
        <v>16</v>
      </c>
      <c r="W275" s="22">
        <f t="shared" si="133"/>
        <v>0</v>
      </c>
      <c r="X275" s="22">
        <f t="shared" si="133"/>
        <v>0</v>
      </c>
      <c r="Y275" s="22">
        <f t="shared" si="133"/>
        <v>0</v>
      </c>
      <c r="Z275" s="22">
        <f t="shared" si="133"/>
        <v>0</v>
      </c>
      <c r="AA275" s="22">
        <f t="shared" si="133"/>
        <v>0</v>
      </c>
      <c r="AB275" s="1"/>
      <c r="AC275" s="5">
        <f t="shared" si="112"/>
        <v>43</v>
      </c>
      <c r="AD275" s="5">
        <f t="shared" si="113"/>
        <v>37</v>
      </c>
      <c r="AE275" s="5">
        <f t="shared" si="114"/>
        <v>0</v>
      </c>
      <c r="AF275" s="5">
        <f t="shared" si="115"/>
        <v>0</v>
      </c>
      <c r="AG275" s="5">
        <f t="shared" si="116"/>
        <v>0</v>
      </c>
      <c r="AH275" s="5">
        <f t="shared" si="117"/>
        <v>0</v>
      </c>
      <c r="AI275" s="5">
        <f t="shared" si="118"/>
        <v>0</v>
      </c>
      <c r="AJ275" s="5">
        <f t="shared" si="119"/>
        <v>0</v>
      </c>
      <c r="AK275" s="5">
        <f t="shared" si="120"/>
        <v>0</v>
      </c>
      <c r="AL275" s="5">
        <f t="shared" si="121"/>
        <v>0</v>
      </c>
      <c r="AM275" s="5">
        <f t="shared" si="122"/>
        <v>0</v>
      </c>
      <c r="AN275" s="5">
        <f t="shared" si="123"/>
        <v>0</v>
      </c>
      <c r="AO275" s="5">
        <f t="shared" si="124"/>
        <v>0</v>
      </c>
      <c r="AP275" s="5">
        <f t="shared" si="125"/>
        <v>0</v>
      </c>
      <c r="AQ275" s="5">
        <f t="shared" si="126"/>
        <v>0</v>
      </c>
      <c r="AR275" s="5">
        <f t="shared" si="127"/>
        <v>0</v>
      </c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M275" s="40">
        <f>IF(OR(V274=4,V274=8,V274=12,V274=16,V274=20),$CA$1,0)</f>
        <v>0</v>
      </c>
      <c r="BN275" s="40">
        <f>IF(OR(W274=4,W274=8,W274=12,W274=16,W274=20),$CA$1,0)</f>
        <v>0</v>
      </c>
      <c r="BO275" s="40">
        <f>IF(OR(X274=4,X274=8,X274=12,X274=16,X274=20),$CA$1,0)</f>
        <v>0</v>
      </c>
      <c r="BP275" s="40">
        <f>IF(OR(Y274=4,Y274=8,Y274=12,Y274=16,Y274=20),$CA$1,0)</f>
        <v>0</v>
      </c>
      <c r="BQ275" s="40">
        <f>IF(OR(Z274=4,Z274=8,Z274=12,Z274=16,Z274=20),$CA$1,0)</f>
        <v>0</v>
      </c>
      <c r="BR275" s="40">
        <f>IF(OR(AA274=4,AA274=8,AA274=12,AA274=16,AA274=20),$CA$1,0)</f>
        <v>0</v>
      </c>
      <c r="BS275" s="40">
        <f>IF(V271=20,$CB$1,0)</f>
        <v>0</v>
      </c>
      <c r="BT275" s="40">
        <f>IF(W271=20,$CB$1,0)</f>
        <v>0</v>
      </c>
      <c r="BU275" s="40">
        <f>IF(X271=20,$CB$1,0)</f>
        <v>0</v>
      </c>
      <c r="BV275" s="40">
        <f>IF(Y271=20,$CB$1,0)</f>
        <v>0</v>
      </c>
      <c r="BW275" s="40">
        <f>IF(Z271=20,$CB$1,0)</f>
        <v>0</v>
      </c>
      <c r="BX275" s="40">
        <f>IF(AA271=20,$CB$1,0)</f>
        <v>0</v>
      </c>
      <c r="BY275" s="41">
        <f t="shared" si="139"/>
        <v>0</v>
      </c>
      <c r="BZ275" s="41">
        <f t="shared" si="140"/>
        <v>0</v>
      </c>
      <c r="CA275" s="58">
        <f t="shared" si="130"/>
        <v>44998</v>
      </c>
      <c r="CB275" s="47">
        <f t="shared" si="141"/>
        <v>0</v>
      </c>
    </row>
    <row r="276" spans="2:80" ht="15" hidden="1" outlineLevel="1" x14ac:dyDescent="0.2">
      <c r="B276" s="18">
        <f t="shared" si="134"/>
        <v>45005</v>
      </c>
      <c r="C276" s="17" t="s">
        <v>1</v>
      </c>
      <c r="D276" s="19">
        <f t="shared" si="135"/>
        <v>45011</v>
      </c>
      <c r="E276" s="20">
        <f t="shared" si="136"/>
        <v>3</v>
      </c>
      <c r="F276" s="21">
        <f t="shared" si="137"/>
        <v>2023</v>
      </c>
      <c r="G276" s="11">
        <f t="shared" si="138"/>
        <v>22</v>
      </c>
      <c r="H276" s="10">
        <f t="shared" si="138"/>
        <v>66</v>
      </c>
      <c r="I276" s="11"/>
      <c r="J276" s="11"/>
      <c r="K276" s="11"/>
      <c r="L276" s="11"/>
      <c r="M276" s="11"/>
      <c r="N276" s="11"/>
      <c r="O276" s="14"/>
      <c r="P276" s="14"/>
      <c r="Q276" s="14"/>
      <c r="R276" s="14"/>
      <c r="S276" s="14"/>
      <c r="T276" s="14"/>
      <c r="V276" s="22">
        <f>IF(I276&gt;0,I276,IF(O276=1,$B276+2,IF(O275=1,1,IF(O275=2,0,IF(V275=$G275,0,(IF(V275&gt;=1,V275+1,0)))))))</f>
        <v>17</v>
      </c>
      <c r="W276" s="22">
        <f t="shared" ref="V276:AA291" si="142">IF(J276&gt;0,J276,IF(P276=1,$B276+2,IF(P275=1,1,IF(P275=2,0,IF(W275=$G275,0,(IF(W275&gt;=1,W275+1,0)))))))</f>
        <v>0</v>
      </c>
      <c r="X276" s="22">
        <f t="shared" si="142"/>
        <v>0</v>
      </c>
      <c r="Y276" s="22">
        <f t="shared" si="142"/>
        <v>0</v>
      </c>
      <c r="Z276" s="22">
        <f t="shared" si="142"/>
        <v>0</v>
      </c>
      <c r="AA276" s="22">
        <f t="shared" si="142"/>
        <v>0</v>
      </c>
      <c r="AB276" s="1"/>
      <c r="AC276" s="5">
        <f t="shared" si="112"/>
        <v>44</v>
      </c>
      <c r="AD276" s="5">
        <f t="shared" si="113"/>
        <v>38</v>
      </c>
      <c r="AE276" s="5">
        <f t="shared" si="114"/>
        <v>0</v>
      </c>
      <c r="AF276" s="5">
        <f t="shared" si="115"/>
        <v>0</v>
      </c>
      <c r="AG276" s="5">
        <f t="shared" si="116"/>
        <v>0</v>
      </c>
      <c r="AH276" s="5">
        <f t="shared" si="117"/>
        <v>0</v>
      </c>
      <c r="AI276" s="5">
        <f t="shared" si="118"/>
        <v>0</v>
      </c>
      <c r="AJ276" s="5">
        <f t="shared" si="119"/>
        <v>0</v>
      </c>
      <c r="AK276" s="5">
        <f t="shared" si="120"/>
        <v>0</v>
      </c>
      <c r="AL276" s="5">
        <f t="shared" si="121"/>
        <v>0</v>
      </c>
      <c r="AM276" s="5">
        <f t="shared" si="122"/>
        <v>0</v>
      </c>
      <c r="AN276" s="5">
        <f t="shared" si="123"/>
        <v>0</v>
      </c>
      <c r="AO276" s="5">
        <f t="shared" si="124"/>
        <v>0</v>
      </c>
      <c r="AP276" s="5">
        <f t="shared" si="125"/>
        <v>0</v>
      </c>
      <c r="AQ276" s="5">
        <f t="shared" si="126"/>
        <v>0</v>
      </c>
      <c r="AR276" s="5">
        <f t="shared" si="127"/>
        <v>0</v>
      </c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M276" s="40">
        <f>IF(OR(V275=4,V275=8,V275=12,V275=16,V275=20),$CA$1,0)</f>
        <v>161491.14583333334</v>
      </c>
      <c r="BN276" s="40">
        <f>IF(OR(W275=4,W275=8,W275=12,W275=16,W275=20),$CA$1,0)</f>
        <v>0</v>
      </c>
      <c r="BO276" s="40">
        <f>IF(OR(X275=4,X275=8,X275=12,X275=16,X275=20),$CA$1,0)</f>
        <v>0</v>
      </c>
      <c r="BP276" s="40">
        <f>IF(OR(Y275=4,Y275=8,Y275=12,Y275=16,Y275=20),$CA$1,0)</f>
        <v>0</v>
      </c>
      <c r="BQ276" s="40">
        <f>IF(OR(Z275=4,Z275=8,Z275=12,Z275=16,Z275=20),$CA$1,0)</f>
        <v>0</v>
      </c>
      <c r="BR276" s="40">
        <f>IF(OR(AA275=4,AA275=8,AA275=12,AA275=16,AA275=20),$CA$1,0)</f>
        <v>0</v>
      </c>
      <c r="BS276" s="40">
        <f>IF(V272=20,$CB$1,0)</f>
        <v>0</v>
      </c>
      <c r="BT276" s="40">
        <f>IF(W272=20,$CB$1,0)</f>
        <v>0</v>
      </c>
      <c r="BU276" s="40">
        <f>IF(X272=20,$CB$1,0)</f>
        <v>0</v>
      </c>
      <c r="BV276" s="40">
        <f>IF(Y272=20,$CB$1,0)</f>
        <v>0</v>
      </c>
      <c r="BW276" s="40">
        <f>IF(Z272=20,$CB$1,0)</f>
        <v>0</v>
      </c>
      <c r="BX276" s="40">
        <f>IF(AA272=20,$CB$1,0)</f>
        <v>0</v>
      </c>
      <c r="BY276" s="41">
        <f t="shared" si="139"/>
        <v>161491.14583333334</v>
      </c>
      <c r="BZ276" s="41">
        <f t="shared" si="140"/>
        <v>161491.14583333334</v>
      </c>
      <c r="CA276" s="58">
        <f t="shared" si="130"/>
        <v>45005</v>
      </c>
      <c r="CB276" s="47">
        <f t="shared" si="141"/>
        <v>0</v>
      </c>
    </row>
    <row r="277" spans="2:80" ht="15" hidden="1" outlineLevel="1" x14ac:dyDescent="0.2">
      <c r="B277" s="18">
        <f t="shared" si="134"/>
        <v>45012</v>
      </c>
      <c r="C277" s="17" t="s">
        <v>1</v>
      </c>
      <c r="D277" s="19">
        <f t="shared" si="135"/>
        <v>45018</v>
      </c>
      <c r="E277" s="20">
        <f t="shared" si="136"/>
        <v>3</v>
      </c>
      <c r="F277" s="21">
        <f t="shared" si="137"/>
        <v>2023</v>
      </c>
      <c r="G277" s="11">
        <f t="shared" si="138"/>
        <v>22</v>
      </c>
      <c r="H277" s="10">
        <f t="shared" si="138"/>
        <v>66</v>
      </c>
      <c r="I277" s="11"/>
      <c r="J277" s="11"/>
      <c r="K277" s="11"/>
      <c r="L277" s="11"/>
      <c r="M277" s="11"/>
      <c r="N277" s="11"/>
      <c r="O277" s="14"/>
      <c r="P277" s="14"/>
      <c r="Q277" s="14"/>
      <c r="R277" s="14"/>
      <c r="S277" s="14"/>
      <c r="T277" s="14"/>
      <c r="V277" s="22">
        <f t="shared" si="142"/>
        <v>18</v>
      </c>
      <c r="W277" s="22">
        <f t="shared" si="142"/>
        <v>0</v>
      </c>
      <c r="X277" s="22">
        <f t="shared" si="142"/>
        <v>0</v>
      </c>
      <c r="Y277" s="22">
        <f t="shared" si="142"/>
        <v>0</v>
      </c>
      <c r="Z277" s="22">
        <f t="shared" si="142"/>
        <v>0</v>
      </c>
      <c r="AA277" s="22">
        <f t="shared" si="142"/>
        <v>0</v>
      </c>
      <c r="AB277" s="1"/>
      <c r="AC277" s="5">
        <f t="shared" si="112"/>
        <v>45</v>
      </c>
      <c r="AD277" s="5">
        <f t="shared" si="113"/>
        <v>39</v>
      </c>
      <c r="AE277" s="5">
        <f t="shared" si="114"/>
        <v>0</v>
      </c>
      <c r="AF277" s="5">
        <f t="shared" si="115"/>
        <v>0</v>
      </c>
      <c r="AG277" s="5">
        <f t="shared" si="116"/>
        <v>0</v>
      </c>
      <c r="AH277" s="5">
        <f t="shared" si="117"/>
        <v>0</v>
      </c>
      <c r="AI277" s="5">
        <f t="shared" si="118"/>
        <v>0</v>
      </c>
      <c r="AJ277" s="5">
        <f t="shared" si="119"/>
        <v>0</v>
      </c>
      <c r="AK277" s="5">
        <f t="shared" si="120"/>
        <v>0</v>
      </c>
      <c r="AL277" s="5">
        <f t="shared" si="121"/>
        <v>0</v>
      </c>
      <c r="AM277" s="5">
        <f t="shared" si="122"/>
        <v>0</v>
      </c>
      <c r="AN277" s="5">
        <f t="shared" si="123"/>
        <v>0</v>
      </c>
      <c r="AO277" s="5">
        <f t="shared" si="124"/>
        <v>0</v>
      </c>
      <c r="AP277" s="5">
        <f t="shared" si="125"/>
        <v>0</v>
      </c>
      <c r="AQ277" s="5">
        <f t="shared" si="126"/>
        <v>0</v>
      </c>
      <c r="AR277" s="5">
        <f t="shared" si="127"/>
        <v>0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M277" s="40">
        <f>IF(OR(V276=4,V276=8,V276=12,V276=16,V276=20),$CA$1,0)</f>
        <v>0</v>
      </c>
      <c r="BN277" s="40">
        <f>IF(OR(W276=4,W276=8,W276=12,W276=16,W276=20),$CA$1,0)</f>
        <v>0</v>
      </c>
      <c r="BO277" s="40">
        <f>IF(OR(X276=4,X276=8,X276=12,X276=16,X276=20),$CA$1,0)</f>
        <v>0</v>
      </c>
      <c r="BP277" s="40">
        <f>IF(OR(Y276=4,Y276=8,Y276=12,Y276=16,Y276=20),$CA$1,0)</f>
        <v>0</v>
      </c>
      <c r="BQ277" s="40">
        <f>IF(OR(Z276=4,Z276=8,Z276=12,Z276=16,Z276=20),$CA$1,0)</f>
        <v>0</v>
      </c>
      <c r="BR277" s="40">
        <f>IF(OR(AA276=4,AA276=8,AA276=12,AA276=16,AA276=20),$CA$1,0)</f>
        <v>0</v>
      </c>
      <c r="BS277" s="40">
        <f>IF(V273=20,$CB$1,0)</f>
        <v>0</v>
      </c>
      <c r="BT277" s="40">
        <f>IF(W273=20,$CB$1,0)</f>
        <v>0</v>
      </c>
      <c r="BU277" s="40">
        <f>IF(X273=20,$CB$1,0)</f>
        <v>0</v>
      </c>
      <c r="BV277" s="40">
        <f>IF(Y273=20,$CB$1,0)</f>
        <v>0</v>
      </c>
      <c r="BW277" s="40">
        <f>IF(Z273=20,$CB$1,0)</f>
        <v>0</v>
      </c>
      <c r="BX277" s="40">
        <f>IF(AA273=20,$CB$1,0)</f>
        <v>0</v>
      </c>
      <c r="BY277" s="41">
        <f t="shared" si="139"/>
        <v>0</v>
      </c>
      <c r="BZ277" s="41">
        <f t="shared" si="140"/>
        <v>161491.14583333334</v>
      </c>
      <c r="CA277" s="58">
        <f t="shared" si="130"/>
        <v>45012</v>
      </c>
      <c r="CB277" s="47">
        <f t="shared" si="141"/>
        <v>161491.14583333334</v>
      </c>
    </row>
    <row r="278" spans="2:80" ht="15" hidden="1" outlineLevel="1" x14ac:dyDescent="0.2">
      <c r="B278" s="18">
        <f t="shared" si="134"/>
        <v>45019</v>
      </c>
      <c r="C278" s="17" t="s">
        <v>1</v>
      </c>
      <c r="D278" s="19">
        <f t="shared" si="135"/>
        <v>45025</v>
      </c>
      <c r="E278" s="20">
        <f t="shared" si="136"/>
        <v>4</v>
      </c>
      <c r="F278" s="21">
        <f t="shared" si="137"/>
        <v>2023</v>
      </c>
      <c r="G278" s="11">
        <f t="shared" ref="G278:H293" si="143">G277</f>
        <v>22</v>
      </c>
      <c r="H278" s="10">
        <f t="shared" si="143"/>
        <v>66</v>
      </c>
      <c r="I278" s="11"/>
      <c r="J278" s="11"/>
      <c r="K278" s="11"/>
      <c r="L278" s="11"/>
      <c r="M278" s="11"/>
      <c r="N278" s="11"/>
      <c r="O278" s="14"/>
      <c r="P278" s="14"/>
      <c r="Q278" s="14"/>
      <c r="R278" s="14"/>
      <c r="S278" s="14"/>
      <c r="T278" s="14"/>
      <c r="V278" s="22">
        <f t="shared" si="142"/>
        <v>19</v>
      </c>
      <c r="W278" s="22">
        <f t="shared" si="142"/>
        <v>0</v>
      </c>
      <c r="X278" s="22">
        <f t="shared" si="142"/>
        <v>0</v>
      </c>
      <c r="Y278" s="22">
        <f t="shared" si="142"/>
        <v>0</v>
      </c>
      <c r="Z278" s="22">
        <f t="shared" si="142"/>
        <v>0</v>
      </c>
      <c r="AA278" s="22">
        <f t="shared" si="142"/>
        <v>0</v>
      </c>
      <c r="AB278" s="1"/>
      <c r="AC278" s="5">
        <f t="shared" si="112"/>
        <v>46</v>
      </c>
      <c r="AD278" s="5">
        <f t="shared" si="113"/>
        <v>40</v>
      </c>
      <c r="AE278" s="5">
        <f t="shared" si="114"/>
        <v>0</v>
      </c>
      <c r="AF278" s="5">
        <f t="shared" si="115"/>
        <v>0</v>
      </c>
      <c r="AG278" s="5">
        <f t="shared" si="116"/>
        <v>0</v>
      </c>
      <c r="AH278" s="5">
        <f t="shared" si="117"/>
        <v>0</v>
      </c>
      <c r="AI278" s="5">
        <f t="shared" si="118"/>
        <v>0</v>
      </c>
      <c r="AJ278" s="5">
        <f t="shared" si="119"/>
        <v>0</v>
      </c>
      <c r="AK278" s="5">
        <f t="shared" si="120"/>
        <v>0</v>
      </c>
      <c r="AL278" s="5">
        <f t="shared" si="121"/>
        <v>0</v>
      </c>
      <c r="AM278" s="5">
        <f t="shared" si="122"/>
        <v>0</v>
      </c>
      <c r="AN278" s="5">
        <f t="shared" si="123"/>
        <v>0</v>
      </c>
      <c r="AO278" s="5">
        <f t="shared" si="124"/>
        <v>0</v>
      </c>
      <c r="AP278" s="5">
        <f t="shared" si="125"/>
        <v>0</v>
      </c>
      <c r="AQ278" s="5">
        <f t="shared" si="126"/>
        <v>0</v>
      </c>
      <c r="AR278" s="5">
        <f t="shared" si="127"/>
        <v>0</v>
      </c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M278" s="40">
        <f>IF(OR(V277=4,V277=8,V277=12,V277=16,V277=20),$CA$1,0)</f>
        <v>0</v>
      </c>
      <c r="BN278" s="40">
        <f>IF(OR(W277=4,W277=8,W277=12,W277=16,W277=20),$CA$1,0)</f>
        <v>0</v>
      </c>
      <c r="BO278" s="40">
        <f>IF(OR(X277=4,X277=8,X277=12,X277=16,X277=20),$CA$1,0)</f>
        <v>0</v>
      </c>
      <c r="BP278" s="40">
        <f>IF(OR(Y277=4,Y277=8,Y277=12,Y277=16,Y277=20),$CA$1,0)</f>
        <v>0</v>
      </c>
      <c r="BQ278" s="40">
        <f>IF(OR(Z277=4,Z277=8,Z277=12,Z277=16,Z277=20),$CA$1,0)</f>
        <v>0</v>
      </c>
      <c r="BR278" s="40">
        <f>IF(OR(AA277=4,AA277=8,AA277=12,AA277=16,AA277=20),$CA$1,0)</f>
        <v>0</v>
      </c>
      <c r="BS278" s="40">
        <f>IF(V274=20,$CB$1,0)</f>
        <v>0</v>
      </c>
      <c r="BT278" s="40">
        <f>IF(W274=20,$CB$1,0)</f>
        <v>0</v>
      </c>
      <c r="BU278" s="40">
        <f>IF(X274=20,$CB$1,0)</f>
        <v>0</v>
      </c>
      <c r="BV278" s="40">
        <f>IF(Y274=20,$CB$1,0)</f>
        <v>0</v>
      </c>
      <c r="BW278" s="40">
        <f>IF(Z274=20,$CB$1,0)</f>
        <v>0</v>
      </c>
      <c r="BX278" s="40">
        <f>IF(AA274=20,$CB$1,0)</f>
        <v>0</v>
      </c>
      <c r="BY278" s="41">
        <f t="shared" si="139"/>
        <v>0</v>
      </c>
      <c r="BZ278" s="41">
        <f t="shared" si="140"/>
        <v>0</v>
      </c>
      <c r="CA278" s="58">
        <f t="shared" si="130"/>
        <v>45019</v>
      </c>
      <c r="CB278" s="47">
        <f t="shared" si="141"/>
        <v>0</v>
      </c>
    </row>
    <row r="279" spans="2:80" ht="15" hidden="1" outlineLevel="1" x14ac:dyDescent="0.2">
      <c r="B279" s="18">
        <f t="shared" si="134"/>
        <v>45026</v>
      </c>
      <c r="C279" s="17" t="s">
        <v>1</v>
      </c>
      <c r="D279" s="19">
        <f t="shared" si="135"/>
        <v>45032</v>
      </c>
      <c r="E279" s="20">
        <f t="shared" si="136"/>
        <v>4</v>
      </c>
      <c r="F279" s="21">
        <f t="shared" si="137"/>
        <v>2023</v>
      </c>
      <c r="G279" s="11">
        <f t="shared" si="143"/>
        <v>22</v>
      </c>
      <c r="H279" s="10">
        <f t="shared" si="143"/>
        <v>66</v>
      </c>
      <c r="I279" s="11"/>
      <c r="J279" s="11"/>
      <c r="K279" s="11"/>
      <c r="L279" s="11"/>
      <c r="M279" s="11"/>
      <c r="N279" s="11"/>
      <c r="O279" s="14"/>
      <c r="P279" s="14"/>
      <c r="Q279" s="14"/>
      <c r="R279" s="14"/>
      <c r="S279" s="14"/>
      <c r="T279" s="14"/>
      <c r="V279" s="22">
        <f t="shared" si="142"/>
        <v>20</v>
      </c>
      <c r="W279" s="22">
        <f t="shared" si="142"/>
        <v>0</v>
      </c>
      <c r="X279" s="22">
        <f t="shared" si="142"/>
        <v>0</v>
      </c>
      <c r="Y279" s="22">
        <f t="shared" si="142"/>
        <v>0</v>
      </c>
      <c r="Z279" s="22">
        <f t="shared" si="142"/>
        <v>0</v>
      </c>
      <c r="AA279" s="22">
        <f t="shared" si="142"/>
        <v>0</v>
      </c>
      <c r="AB279" s="1"/>
      <c r="AC279" s="5">
        <f t="shared" si="112"/>
        <v>47</v>
      </c>
      <c r="AD279" s="5">
        <f t="shared" si="113"/>
        <v>41</v>
      </c>
      <c r="AE279" s="5">
        <f t="shared" si="114"/>
        <v>0</v>
      </c>
      <c r="AF279" s="5">
        <f t="shared" si="115"/>
        <v>0</v>
      </c>
      <c r="AG279" s="5">
        <f t="shared" si="116"/>
        <v>0</v>
      </c>
      <c r="AH279" s="5">
        <f t="shared" si="117"/>
        <v>0</v>
      </c>
      <c r="AI279" s="5">
        <f t="shared" si="118"/>
        <v>0</v>
      </c>
      <c r="AJ279" s="5">
        <f t="shared" si="119"/>
        <v>0</v>
      </c>
      <c r="AK279" s="5">
        <f t="shared" si="120"/>
        <v>0</v>
      </c>
      <c r="AL279" s="5">
        <f t="shared" si="121"/>
        <v>0</v>
      </c>
      <c r="AM279" s="5">
        <f t="shared" si="122"/>
        <v>0</v>
      </c>
      <c r="AN279" s="5">
        <f t="shared" si="123"/>
        <v>0</v>
      </c>
      <c r="AO279" s="5">
        <f t="shared" si="124"/>
        <v>0</v>
      </c>
      <c r="AP279" s="5">
        <f t="shared" si="125"/>
        <v>0</v>
      </c>
      <c r="AQ279" s="5">
        <f t="shared" si="126"/>
        <v>0</v>
      </c>
      <c r="AR279" s="5">
        <f t="shared" si="127"/>
        <v>0</v>
      </c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M279" s="40">
        <f>IF(OR(V278=4,V278=8,V278=12,V278=16,V278=20),$CA$1,0)</f>
        <v>0</v>
      </c>
      <c r="BN279" s="40">
        <f>IF(OR(W278=4,W278=8,W278=12,W278=16,W278=20),$CA$1,0)</f>
        <v>0</v>
      </c>
      <c r="BO279" s="40">
        <f>IF(OR(X278=4,X278=8,X278=12,X278=16,X278=20),$CA$1,0)</f>
        <v>0</v>
      </c>
      <c r="BP279" s="40">
        <f>IF(OR(Y278=4,Y278=8,Y278=12,Y278=16,Y278=20),$CA$1,0)</f>
        <v>0</v>
      </c>
      <c r="BQ279" s="40">
        <f>IF(OR(Z278=4,Z278=8,Z278=12,Z278=16,Z278=20),$CA$1,0)</f>
        <v>0</v>
      </c>
      <c r="BR279" s="40">
        <f>IF(OR(AA278=4,AA278=8,AA278=12,AA278=16,AA278=20),$CA$1,0)</f>
        <v>0</v>
      </c>
      <c r="BS279" s="40">
        <f>IF(V275=20,$CB$1,0)</f>
        <v>0</v>
      </c>
      <c r="BT279" s="40">
        <f>IF(W275=20,$CB$1,0)</f>
        <v>0</v>
      </c>
      <c r="BU279" s="40">
        <f>IF(X275=20,$CB$1,0)</f>
        <v>0</v>
      </c>
      <c r="BV279" s="40">
        <f>IF(Y275=20,$CB$1,0)</f>
        <v>0</v>
      </c>
      <c r="BW279" s="40">
        <f>IF(Z275=20,$CB$1,0)</f>
        <v>0</v>
      </c>
      <c r="BX279" s="40">
        <f>IF(AA275=20,$CB$1,0)</f>
        <v>0</v>
      </c>
      <c r="BY279" s="41">
        <f t="shared" si="139"/>
        <v>0</v>
      </c>
      <c r="BZ279" s="41">
        <f t="shared" si="140"/>
        <v>0</v>
      </c>
      <c r="CA279" s="58">
        <f t="shared" si="130"/>
        <v>45026</v>
      </c>
      <c r="CB279" s="47">
        <f t="shared" si="141"/>
        <v>0</v>
      </c>
    </row>
    <row r="280" spans="2:80" ht="15" hidden="1" outlineLevel="1" x14ac:dyDescent="0.2">
      <c r="B280" s="18">
        <f t="shared" si="134"/>
        <v>45033</v>
      </c>
      <c r="C280" s="17" t="s">
        <v>1</v>
      </c>
      <c r="D280" s="19">
        <f t="shared" si="135"/>
        <v>45039</v>
      </c>
      <c r="E280" s="20">
        <f t="shared" si="136"/>
        <v>4</v>
      </c>
      <c r="F280" s="21">
        <f t="shared" si="137"/>
        <v>2023</v>
      </c>
      <c r="G280" s="11">
        <f t="shared" si="143"/>
        <v>22</v>
      </c>
      <c r="H280" s="10">
        <f t="shared" si="143"/>
        <v>66</v>
      </c>
      <c r="I280" s="11"/>
      <c r="J280" s="11"/>
      <c r="K280" s="11"/>
      <c r="L280" s="11"/>
      <c r="M280" s="11"/>
      <c r="N280" s="11"/>
      <c r="O280" s="14"/>
      <c r="P280" s="14"/>
      <c r="Q280" s="14"/>
      <c r="R280" s="14"/>
      <c r="S280" s="14"/>
      <c r="T280" s="14"/>
      <c r="V280" s="22">
        <f t="shared" si="142"/>
        <v>21</v>
      </c>
      <c r="W280" s="22">
        <f t="shared" si="142"/>
        <v>0</v>
      </c>
      <c r="X280" s="22">
        <f t="shared" si="142"/>
        <v>0</v>
      </c>
      <c r="Y280" s="22">
        <f t="shared" si="142"/>
        <v>0</v>
      </c>
      <c r="Z280" s="22">
        <f t="shared" si="142"/>
        <v>0</v>
      </c>
      <c r="AA280" s="22">
        <f t="shared" si="142"/>
        <v>0</v>
      </c>
      <c r="AB280" s="1"/>
      <c r="AC280" s="5">
        <f t="shared" si="112"/>
        <v>48</v>
      </c>
      <c r="AD280" s="5">
        <f t="shared" si="113"/>
        <v>42</v>
      </c>
      <c r="AE280" s="5">
        <f t="shared" si="114"/>
        <v>0</v>
      </c>
      <c r="AF280" s="5">
        <f t="shared" si="115"/>
        <v>0</v>
      </c>
      <c r="AG280" s="5">
        <f t="shared" si="116"/>
        <v>0</v>
      </c>
      <c r="AH280" s="5">
        <f t="shared" si="117"/>
        <v>0</v>
      </c>
      <c r="AI280" s="5">
        <f t="shared" si="118"/>
        <v>0</v>
      </c>
      <c r="AJ280" s="5">
        <f t="shared" si="119"/>
        <v>0</v>
      </c>
      <c r="AK280" s="5">
        <f t="shared" si="120"/>
        <v>0</v>
      </c>
      <c r="AL280" s="5">
        <f t="shared" si="121"/>
        <v>0</v>
      </c>
      <c r="AM280" s="5">
        <f t="shared" si="122"/>
        <v>0</v>
      </c>
      <c r="AN280" s="5">
        <f t="shared" si="123"/>
        <v>0</v>
      </c>
      <c r="AO280" s="5">
        <f t="shared" si="124"/>
        <v>0</v>
      </c>
      <c r="AP280" s="5">
        <f t="shared" si="125"/>
        <v>0</v>
      </c>
      <c r="AQ280" s="5">
        <f t="shared" si="126"/>
        <v>0</v>
      </c>
      <c r="AR280" s="5">
        <f t="shared" si="127"/>
        <v>0</v>
      </c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M280" s="40">
        <f>IF(OR(V279=4,V279=8,V279=12,V279=16,V279=20),$CA$1,0)</f>
        <v>161491.14583333334</v>
      </c>
      <c r="BN280" s="40">
        <f>IF(OR(W279=4,W279=8,W279=12,W279=16,W279=20),$CA$1,0)</f>
        <v>0</v>
      </c>
      <c r="BO280" s="40">
        <f>IF(OR(X279=4,X279=8,X279=12,X279=16,X279=20),$CA$1,0)</f>
        <v>0</v>
      </c>
      <c r="BP280" s="40">
        <f>IF(OR(Y279=4,Y279=8,Y279=12,Y279=16,Y279=20),$CA$1,0)</f>
        <v>0</v>
      </c>
      <c r="BQ280" s="40">
        <f>IF(OR(Z279=4,Z279=8,Z279=12,Z279=16,Z279=20),$CA$1,0)</f>
        <v>0</v>
      </c>
      <c r="BR280" s="40">
        <f>IF(OR(AA279=4,AA279=8,AA279=12,AA279=16,AA279=20),$CA$1,0)</f>
        <v>0</v>
      </c>
      <c r="BS280" s="40">
        <f>IF(V276=20,$CB$1,0)</f>
        <v>0</v>
      </c>
      <c r="BT280" s="40">
        <f>IF(W276=20,$CB$1,0)</f>
        <v>0</v>
      </c>
      <c r="BU280" s="40">
        <f>IF(X276=20,$CB$1,0)</f>
        <v>0</v>
      </c>
      <c r="BV280" s="40">
        <f>IF(Y276=20,$CB$1,0)</f>
        <v>0</v>
      </c>
      <c r="BW280" s="40">
        <f>IF(Z276=20,$CB$1,0)</f>
        <v>0</v>
      </c>
      <c r="BX280" s="40">
        <f>IF(AA276=20,$CB$1,0)</f>
        <v>0</v>
      </c>
      <c r="BY280" s="41">
        <f t="shared" si="139"/>
        <v>161491.14583333334</v>
      </c>
      <c r="BZ280" s="41">
        <f t="shared" si="140"/>
        <v>161491.14583333334</v>
      </c>
      <c r="CA280" s="58">
        <f t="shared" si="130"/>
        <v>45033</v>
      </c>
      <c r="CB280" s="47">
        <f t="shared" si="141"/>
        <v>0</v>
      </c>
    </row>
    <row r="281" spans="2:80" ht="15" hidden="1" outlineLevel="1" x14ac:dyDescent="0.2">
      <c r="B281" s="18">
        <f t="shared" si="134"/>
        <v>45040</v>
      </c>
      <c r="C281" s="17" t="s">
        <v>1</v>
      </c>
      <c r="D281" s="19">
        <f t="shared" si="135"/>
        <v>45046</v>
      </c>
      <c r="E281" s="20">
        <f t="shared" si="136"/>
        <v>4</v>
      </c>
      <c r="F281" s="21">
        <f t="shared" si="137"/>
        <v>2023</v>
      </c>
      <c r="G281" s="11">
        <f t="shared" si="143"/>
        <v>22</v>
      </c>
      <c r="H281" s="10">
        <f t="shared" si="143"/>
        <v>66</v>
      </c>
      <c r="I281" s="11"/>
      <c r="J281" s="11"/>
      <c r="K281" s="11"/>
      <c r="L281" s="11"/>
      <c r="M281" s="11"/>
      <c r="N281" s="11"/>
      <c r="O281" s="14"/>
      <c r="P281" s="14"/>
      <c r="Q281" s="14"/>
      <c r="R281" s="14"/>
      <c r="S281" s="14"/>
      <c r="T281" s="14"/>
      <c r="V281" s="22">
        <f t="shared" si="142"/>
        <v>22</v>
      </c>
      <c r="W281" s="22">
        <f t="shared" si="142"/>
        <v>0</v>
      </c>
      <c r="X281" s="22">
        <f t="shared" si="142"/>
        <v>0</v>
      </c>
      <c r="Y281" s="22">
        <f t="shared" si="142"/>
        <v>0</v>
      </c>
      <c r="Z281" s="22">
        <f t="shared" si="142"/>
        <v>0</v>
      </c>
      <c r="AA281" s="22">
        <f t="shared" si="142"/>
        <v>0</v>
      </c>
      <c r="AB281" s="1"/>
      <c r="AC281" s="5">
        <f t="shared" si="112"/>
        <v>49</v>
      </c>
      <c r="AD281" s="5">
        <f t="shared" si="113"/>
        <v>43</v>
      </c>
      <c r="AE281" s="5">
        <f t="shared" si="114"/>
        <v>0</v>
      </c>
      <c r="AF281" s="5">
        <f t="shared" si="115"/>
        <v>0</v>
      </c>
      <c r="AG281" s="5">
        <f t="shared" si="116"/>
        <v>0</v>
      </c>
      <c r="AH281" s="5">
        <f t="shared" si="117"/>
        <v>0</v>
      </c>
      <c r="AI281" s="5">
        <f t="shared" si="118"/>
        <v>0</v>
      </c>
      <c r="AJ281" s="5">
        <f t="shared" si="119"/>
        <v>0</v>
      </c>
      <c r="AK281" s="5">
        <f t="shared" si="120"/>
        <v>0</v>
      </c>
      <c r="AL281" s="5">
        <f t="shared" si="121"/>
        <v>0</v>
      </c>
      <c r="AM281" s="5">
        <f t="shared" si="122"/>
        <v>0</v>
      </c>
      <c r="AN281" s="5">
        <f t="shared" si="123"/>
        <v>0</v>
      </c>
      <c r="AO281" s="5">
        <f t="shared" si="124"/>
        <v>0</v>
      </c>
      <c r="AP281" s="5">
        <f t="shared" si="125"/>
        <v>0</v>
      </c>
      <c r="AQ281" s="5">
        <f t="shared" si="126"/>
        <v>0</v>
      </c>
      <c r="AR281" s="5">
        <f t="shared" si="127"/>
        <v>0</v>
      </c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M281" s="40">
        <f>IF(OR(V280=4,V280=8,V280=12,V280=16,V280=20),$CA$1,0)</f>
        <v>0</v>
      </c>
      <c r="BN281" s="40">
        <f>IF(OR(W280=4,W280=8,W280=12,W280=16,W280=20),$CA$1,0)</f>
        <v>0</v>
      </c>
      <c r="BO281" s="40">
        <f>IF(OR(X280=4,X280=8,X280=12,X280=16,X280=20),$CA$1,0)</f>
        <v>0</v>
      </c>
      <c r="BP281" s="40">
        <f>IF(OR(Y280=4,Y280=8,Y280=12,Y280=16,Y280=20),$CA$1,0)</f>
        <v>0</v>
      </c>
      <c r="BQ281" s="40">
        <f>IF(OR(Z280=4,Z280=8,Z280=12,Z280=16,Z280=20),$CA$1,0)</f>
        <v>0</v>
      </c>
      <c r="BR281" s="40">
        <f>IF(OR(AA280=4,AA280=8,AA280=12,AA280=16,AA280=20),$CA$1,0)</f>
        <v>0</v>
      </c>
      <c r="BS281" s="40">
        <f>IF(V277=20,$CB$1,0)</f>
        <v>0</v>
      </c>
      <c r="BT281" s="40">
        <f>IF(W277=20,$CB$1,0)</f>
        <v>0</v>
      </c>
      <c r="BU281" s="40">
        <f>IF(X277=20,$CB$1,0)</f>
        <v>0</v>
      </c>
      <c r="BV281" s="40">
        <f>IF(Y277=20,$CB$1,0)</f>
        <v>0</v>
      </c>
      <c r="BW281" s="40">
        <f>IF(Z277=20,$CB$1,0)</f>
        <v>0</v>
      </c>
      <c r="BX281" s="40">
        <f>IF(AA277=20,$CB$1,0)</f>
        <v>0</v>
      </c>
      <c r="BY281" s="41">
        <f t="shared" si="139"/>
        <v>0</v>
      </c>
      <c r="BZ281" s="41">
        <f t="shared" si="140"/>
        <v>161491.14583333334</v>
      </c>
      <c r="CA281" s="58">
        <f t="shared" si="130"/>
        <v>45040</v>
      </c>
      <c r="CB281" s="47">
        <f t="shared" si="141"/>
        <v>161491.14583333334</v>
      </c>
    </row>
    <row r="282" spans="2:80" ht="15" hidden="1" outlineLevel="1" x14ac:dyDescent="0.2">
      <c r="B282" s="18">
        <f t="shared" si="134"/>
        <v>45047</v>
      </c>
      <c r="C282" s="17" t="s">
        <v>1</v>
      </c>
      <c r="D282" s="19">
        <f t="shared" si="135"/>
        <v>45053</v>
      </c>
      <c r="E282" s="20">
        <f t="shared" si="136"/>
        <v>5</v>
      </c>
      <c r="F282" s="21">
        <f t="shared" si="137"/>
        <v>2023</v>
      </c>
      <c r="G282" s="11">
        <f t="shared" si="143"/>
        <v>22</v>
      </c>
      <c r="H282" s="10">
        <f t="shared" si="143"/>
        <v>66</v>
      </c>
      <c r="I282" s="11"/>
      <c r="J282" s="11"/>
      <c r="K282" s="11"/>
      <c r="L282" s="11"/>
      <c r="M282" s="11"/>
      <c r="N282" s="11"/>
      <c r="O282" s="14"/>
      <c r="P282" s="14"/>
      <c r="Q282" s="14"/>
      <c r="R282" s="14"/>
      <c r="S282" s="14"/>
      <c r="T282" s="14"/>
      <c r="V282" s="22">
        <f t="shared" si="142"/>
        <v>0</v>
      </c>
      <c r="W282" s="22">
        <f t="shared" si="142"/>
        <v>0</v>
      </c>
      <c r="X282" s="22">
        <f t="shared" si="142"/>
        <v>0</v>
      </c>
      <c r="Y282" s="22">
        <f t="shared" si="142"/>
        <v>0</v>
      </c>
      <c r="Z282" s="22">
        <f t="shared" si="142"/>
        <v>0</v>
      </c>
      <c r="AA282" s="22">
        <f t="shared" si="142"/>
        <v>0</v>
      </c>
      <c r="AB282" s="1"/>
      <c r="AC282" s="5">
        <f t="shared" si="112"/>
        <v>50</v>
      </c>
      <c r="AD282" s="5">
        <f t="shared" si="113"/>
        <v>44</v>
      </c>
      <c r="AE282" s="5">
        <f t="shared" si="114"/>
        <v>0</v>
      </c>
      <c r="AF282" s="5">
        <f t="shared" si="115"/>
        <v>0</v>
      </c>
      <c r="AG282" s="5">
        <f t="shared" si="116"/>
        <v>0</v>
      </c>
      <c r="AH282" s="5">
        <f t="shared" si="117"/>
        <v>0</v>
      </c>
      <c r="AI282" s="5">
        <f t="shared" si="118"/>
        <v>0</v>
      </c>
      <c r="AJ282" s="5">
        <f t="shared" si="119"/>
        <v>0</v>
      </c>
      <c r="AK282" s="5">
        <f t="shared" si="120"/>
        <v>0</v>
      </c>
      <c r="AL282" s="5">
        <f t="shared" si="121"/>
        <v>0</v>
      </c>
      <c r="AM282" s="5">
        <f t="shared" si="122"/>
        <v>0</v>
      </c>
      <c r="AN282" s="5">
        <f t="shared" si="123"/>
        <v>0</v>
      </c>
      <c r="AO282" s="5">
        <f t="shared" si="124"/>
        <v>0</v>
      </c>
      <c r="AP282" s="5">
        <f t="shared" si="125"/>
        <v>0</v>
      </c>
      <c r="AQ282" s="5">
        <f t="shared" si="126"/>
        <v>0</v>
      </c>
      <c r="AR282" s="5">
        <f t="shared" si="127"/>
        <v>0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M282" s="40">
        <f>IF(OR(V281=4,V281=8,V281=12,V281=16,V281=20),$CA$1,0)</f>
        <v>0</v>
      </c>
      <c r="BN282" s="40">
        <f>IF(OR(W281=4,W281=8,W281=12,W281=16,W281=20),$CA$1,0)</f>
        <v>0</v>
      </c>
      <c r="BO282" s="40">
        <f>IF(OR(X281=4,X281=8,X281=12,X281=16,X281=20),$CA$1,0)</f>
        <v>0</v>
      </c>
      <c r="BP282" s="40">
        <f>IF(OR(Y281=4,Y281=8,Y281=12,Y281=16,Y281=20),$CA$1,0)</f>
        <v>0</v>
      </c>
      <c r="BQ282" s="40">
        <f>IF(OR(Z281=4,Z281=8,Z281=12,Z281=16,Z281=20),$CA$1,0)</f>
        <v>0</v>
      </c>
      <c r="BR282" s="40">
        <f>IF(OR(AA281=4,AA281=8,AA281=12,AA281=16,AA281=20),$CA$1,0)</f>
        <v>0</v>
      </c>
      <c r="BS282" s="40">
        <f>IF(V278=20,$CB$1,0)</f>
        <v>0</v>
      </c>
      <c r="BT282" s="40">
        <f>IF(W278=20,$CB$1,0)</f>
        <v>0</v>
      </c>
      <c r="BU282" s="40">
        <f>IF(X278=20,$CB$1,0)</f>
        <v>0</v>
      </c>
      <c r="BV282" s="40">
        <f>IF(Y278=20,$CB$1,0)</f>
        <v>0</v>
      </c>
      <c r="BW282" s="40">
        <f>IF(Z278=20,$CB$1,0)</f>
        <v>0</v>
      </c>
      <c r="BX282" s="40">
        <f>IF(AA278=20,$CB$1,0)</f>
        <v>0</v>
      </c>
      <c r="BY282" s="41">
        <f t="shared" si="139"/>
        <v>0</v>
      </c>
      <c r="BZ282" s="41">
        <f t="shared" si="140"/>
        <v>0</v>
      </c>
      <c r="CA282" s="58">
        <f t="shared" si="130"/>
        <v>45047</v>
      </c>
      <c r="CB282" s="47">
        <f t="shared" si="141"/>
        <v>0</v>
      </c>
    </row>
    <row r="283" spans="2:80" ht="15" hidden="1" outlineLevel="1" x14ac:dyDescent="0.2">
      <c r="B283" s="18">
        <f t="shared" si="134"/>
        <v>45054</v>
      </c>
      <c r="C283" s="17" t="s">
        <v>1</v>
      </c>
      <c r="D283" s="19">
        <f t="shared" si="135"/>
        <v>45060</v>
      </c>
      <c r="E283" s="20">
        <f t="shared" si="136"/>
        <v>5</v>
      </c>
      <c r="F283" s="21">
        <f t="shared" si="137"/>
        <v>2023</v>
      </c>
      <c r="G283" s="11">
        <f t="shared" si="143"/>
        <v>22</v>
      </c>
      <c r="H283" s="10">
        <f t="shared" si="143"/>
        <v>66</v>
      </c>
      <c r="I283" s="11"/>
      <c r="J283" s="11"/>
      <c r="K283" s="11"/>
      <c r="L283" s="11"/>
      <c r="M283" s="11"/>
      <c r="N283" s="11"/>
      <c r="O283" s="14"/>
      <c r="P283" s="14"/>
      <c r="Q283" s="14"/>
      <c r="R283" s="14"/>
      <c r="S283" s="14"/>
      <c r="T283" s="14"/>
      <c r="V283" s="22">
        <f t="shared" si="142"/>
        <v>0</v>
      </c>
      <c r="W283" s="22">
        <f t="shared" si="142"/>
        <v>0</v>
      </c>
      <c r="X283" s="22">
        <f t="shared" si="142"/>
        <v>0</v>
      </c>
      <c r="Y283" s="22">
        <f t="shared" si="142"/>
        <v>0</v>
      </c>
      <c r="Z283" s="22">
        <f t="shared" si="142"/>
        <v>0</v>
      </c>
      <c r="AA283" s="22">
        <f t="shared" si="142"/>
        <v>0</v>
      </c>
      <c r="AB283" s="1"/>
      <c r="AC283" s="5">
        <f t="shared" si="112"/>
        <v>51</v>
      </c>
      <c r="AD283" s="5">
        <f t="shared" si="113"/>
        <v>45</v>
      </c>
      <c r="AE283" s="5">
        <f t="shared" si="114"/>
        <v>0</v>
      </c>
      <c r="AF283" s="5">
        <f t="shared" si="115"/>
        <v>0</v>
      </c>
      <c r="AG283" s="5">
        <f t="shared" si="116"/>
        <v>0</v>
      </c>
      <c r="AH283" s="5">
        <f t="shared" si="117"/>
        <v>0</v>
      </c>
      <c r="AI283" s="5">
        <f t="shared" si="118"/>
        <v>0</v>
      </c>
      <c r="AJ283" s="5">
        <f t="shared" si="119"/>
        <v>0</v>
      </c>
      <c r="AK283" s="5">
        <f t="shared" si="120"/>
        <v>0</v>
      </c>
      <c r="AL283" s="5">
        <f t="shared" si="121"/>
        <v>0</v>
      </c>
      <c r="AM283" s="5">
        <f t="shared" si="122"/>
        <v>0</v>
      </c>
      <c r="AN283" s="5">
        <f t="shared" si="123"/>
        <v>0</v>
      </c>
      <c r="AO283" s="5">
        <f t="shared" si="124"/>
        <v>0</v>
      </c>
      <c r="AP283" s="5">
        <f t="shared" si="125"/>
        <v>0</v>
      </c>
      <c r="AQ283" s="5">
        <f t="shared" si="126"/>
        <v>0</v>
      </c>
      <c r="AR283" s="5">
        <f t="shared" si="127"/>
        <v>0</v>
      </c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M283" s="40">
        <f>IF(OR(V282=4,V282=8,V282=12,V282=16,V282=20),$CA$1,0)</f>
        <v>0</v>
      </c>
      <c r="BN283" s="40">
        <f>IF(OR(W282=4,W282=8,W282=12,W282=16,W282=20),$CA$1,0)</f>
        <v>0</v>
      </c>
      <c r="BO283" s="40">
        <f>IF(OR(X282=4,X282=8,X282=12,X282=16,X282=20),$CA$1,0)</f>
        <v>0</v>
      </c>
      <c r="BP283" s="40">
        <f>IF(OR(Y282=4,Y282=8,Y282=12,Y282=16,Y282=20),$CA$1,0)</f>
        <v>0</v>
      </c>
      <c r="BQ283" s="40">
        <f>IF(OR(Z282=4,Z282=8,Z282=12,Z282=16,Z282=20),$CA$1,0)</f>
        <v>0</v>
      </c>
      <c r="BR283" s="40">
        <f>IF(OR(AA282=4,AA282=8,AA282=12,AA282=16,AA282=20),$CA$1,0)</f>
        <v>0</v>
      </c>
      <c r="BS283" s="40">
        <f>IF(V279=20,$CB$1,0)</f>
        <v>651525.49583333335</v>
      </c>
      <c r="BT283" s="40">
        <f>IF(W279=20,$CB$1,0)</f>
        <v>0</v>
      </c>
      <c r="BU283" s="40">
        <f>IF(X279=20,$CB$1,0)</f>
        <v>0</v>
      </c>
      <c r="BV283" s="40">
        <f>IF(Y279=20,$CB$1,0)</f>
        <v>0</v>
      </c>
      <c r="BW283" s="40">
        <f>IF(Z279=20,$CB$1,0)</f>
        <v>0</v>
      </c>
      <c r="BX283" s="40">
        <f>IF(AA279=20,$CB$1,0)</f>
        <v>0</v>
      </c>
      <c r="BY283" s="41">
        <f t="shared" si="139"/>
        <v>651525.49583333335</v>
      </c>
      <c r="BZ283" s="41">
        <f t="shared" si="140"/>
        <v>651525.49583333335</v>
      </c>
      <c r="CA283" s="58">
        <f t="shared" si="130"/>
        <v>45054</v>
      </c>
      <c r="CB283" s="47">
        <f t="shared" si="141"/>
        <v>0</v>
      </c>
    </row>
    <row r="284" spans="2:80" ht="15" hidden="1" outlineLevel="1" x14ac:dyDescent="0.2">
      <c r="B284" s="18">
        <f t="shared" si="134"/>
        <v>45061</v>
      </c>
      <c r="C284" s="17" t="s">
        <v>1</v>
      </c>
      <c r="D284" s="19">
        <f t="shared" si="135"/>
        <v>45067</v>
      </c>
      <c r="E284" s="20">
        <f t="shared" si="136"/>
        <v>5</v>
      </c>
      <c r="F284" s="21">
        <f t="shared" si="137"/>
        <v>2023</v>
      </c>
      <c r="G284" s="11">
        <f t="shared" si="143"/>
        <v>22</v>
      </c>
      <c r="H284" s="10">
        <f t="shared" si="143"/>
        <v>66</v>
      </c>
      <c r="I284" s="11"/>
      <c r="J284" s="11"/>
      <c r="K284" s="11"/>
      <c r="L284" s="11"/>
      <c r="M284" s="11"/>
      <c r="N284" s="11"/>
      <c r="O284" s="14"/>
      <c r="P284" s="14"/>
      <c r="Q284" s="14"/>
      <c r="R284" s="14"/>
      <c r="S284" s="14"/>
      <c r="T284" s="14"/>
      <c r="V284" s="22">
        <f t="shared" si="142"/>
        <v>0</v>
      </c>
      <c r="W284" s="22">
        <f t="shared" si="142"/>
        <v>0</v>
      </c>
      <c r="X284" s="22">
        <f t="shared" si="142"/>
        <v>0</v>
      </c>
      <c r="Y284" s="22">
        <f t="shared" si="142"/>
        <v>0</v>
      </c>
      <c r="Z284" s="22">
        <f t="shared" si="142"/>
        <v>0</v>
      </c>
      <c r="AA284" s="22">
        <f t="shared" si="142"/>
        <v>0</v>
      </c>
      <c r="AB284" s="1"/>
      <c r="AC284" s="5">
        <f t="shared" si="112"/>
        <v>52</v>
      </c>
      <c r="AD284" s="5">
        <f t="shared" si="113"/>
        <v>46</v>
      </c>
      <c r="AE284" s="5">
        <f t="shared" si="114"/>
        <v>0</v>
      </c>
      <c r="AF284" s="5">
        <f t="shared" si="115"/>
        <v>0</v>
      </c>
      <c r="AG284" s="5">
        <f t="shared" si="116"/>
        <v>0</v>
      </c>
      <c r="AH284" s="5">
        <f t="shared" si="117"/>
        <v>0</v>
      </c>
      <c r="AI284" s="5">
        <f t="shared" si="118"/>
        <v>0</v>
      </c>
      <c r="AJ284" s="5">
        <f t="shared" si="119"/>
        <v>0</v>
      </c>
      <c r="AK284" s="5">
        <f t="shared" si="120"/>
        <v>0</v>
      </c>
      <c r="AL284" s="5">
        <f t="shared" si="121"/>
        <v>0</v>
      </c>
      <c r="AM284" s="5">
        <f t="shared" si="122"/>
        <v>0</v>
      </c>
      <c r="AN284" s="5">
        <f t="shared" si="123"/>
        <v>0</v>
      </c>
      <c r="AO284" s="5">
        <f t="shared" si="124"/>
        <v>0</v>
      </c>
      <c r="AP284" s="5">
        <f t="shared" si="125"/>
        <v>0</v>
      </c>
      <c r="AQ284" s="5">
        <f t="shared" si="126"/>
        <v>0</v>
      </c>
      <c r="AR284" s="5">
        <f t="shared" si="127"/>
        <v>0</v>
      </c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M284" s="40">
        <f>IF(OR(V283=4,V283=8,V283=12,V283=16,V283=20),$CA$1,0)</f>
        <v>0</v>
      </c>
      <c r="BN284" s="40">
        <f>IF(OR(W283=4,W283=8,W283=12,W283=16,W283=20),$CA$1,0)</f>
        <v>0</v>
      </c>
      <c r="BO284" s="40">
        <f>IF(OR(X283=4,X283=8,X283=12,X283=16,X283=20),$CA$1,0)</f>
        <v>0</v>
      </c>
      <c r="BP284" s="40">
        <f>IF(OR(Y283=4,Y283=8,Y283=12,Y283=16,Y283=20),$CA$1,0)</f>
        <v>0</v>
      </c>
      <c r="BQ284" s="40">
        <f>IF(OR(Z283=4,Z283=8,Z283=12,Z283=16,Z283=20),$CA$1,0)</f>
        <v>0</v>
      </c>
      <c r="BR284" s="40">
        <f>IF(OR(AA283=4,AA283=8,AA283=12,AA283=16,AA283=20),$CA$1,0)</f>
        <v>0</v>
      </c>
      <c r="BS284" s="40">
        <f>IF(V280=20,$CB$1,0)</f>
        <v>0</v>
      </c>
      <c r="BT284" s="40">
        <f>IF(W280=20,$CB$1,0)</f>
        <v>0</v>
      </c>
      <c r="BU284" s="40">
        <f>IF(X280=20,$CB$1,0)</f>
        <v>0</v>
      </c>
      <c r="BV284" s="40">
        <f>IF(Y280=20,$CB$1,0)</f>
        <v>0</v>
      </c>
      <c r="BW284" s="40">
        <f>IF(Z280=20,$CB$1,0)</f>
        <v>0</v>
      </c>
      <c r="BX284" s="40">
        <f>IF(AA280=20,$CB$1,0)</f>
        <v>0</v>
      </c>
      <c r="BY284" s="41">
        <f t="shared" si="139"/>
        <v>0</v>
      </c>
      <c r="BZ284" s="41">
        <f t="shared" si="140"/>
        <v>651525.49583333335</v>
      </c>
      <c r="CA284" s="58">
        <f t="shared" si="130"/>
        <v>45061</v>
      </c>
      <c r="CB284" s="47">
        <f t="shared" si="141"/>
        <v>0</v>
      </c>
    </row>
    <row r="285" spans="2:80" ht="15" hidden="1" outlineLevel="1" x14ac:dyDescent="0.2">
      <c r="B285" s="18">
        <f t="shared" si="134"/>
        <v>45068</v>
      </c>
      <c r="C285" s="17" t="s">
        <v>1</v>
      </c>
      <c r="D285" s="19">
        <f t="shared" si="135"/>
        <v>45074</v>
      </c>
      <c r="E285" s="20">
        <f t="shared" si="136"/>
        <v>5</v>
      </c>
      <c r="F285" s="21">
        <f t="shared" si="137"/>
        <v>2023</v>
      </c>
      <c r="G285" s="11">
        <f t="shared" si="143"/>
        <v>22</v>
      </c>
      <c r="H285" s="10">
        <f t="shared" si="143"/>
        <v>66</v>
      </c>
      <c r="I285" s="11"/>
      <c r="J285" s="11"/>
      <c r="K285" s="11"/>
      <c r="L285" s="11"/>
      <c r="M285" s="11"/>
      <c r="N285" s="11"/>
      <c r="O285" s="14"/>
      <c r="P285" s="14"/>
      <c r="Q285" s="14"/>
      <c r="R285" s="14"/>
      <c r="S285" s="14"/>
      <c r="T285" s="14"/>
      <c r="V285" s="22">
        <f t="shared" si="142"/>
        <v>0</v>
      </c>
      <c r="W285" s="22">
        <f t="shared" si="142"/>
        <v>0</v>
      </c>
      <c r="X285" s="22">
        <f t="shared" si="142"/>
        <v>0</v>
      </c>
      <c r="Y285" s="22">
        <f t="shared" si="142"/>
        <v>0</v>
      </c>
      <c r="Z285" s="22">
        <f t="shared" si="142"/>
        <v>0</v>
      </c>
      <c r="AA285" s="22">
        <f t="shared" si="142"/>
        <v>0</v>
      </c>
      <c r="AB285" s="1"/>
      <c r="AC285" s="5">
        <f t="shared" ref="AC285:AC348" si="144">IF(AND(AS285&gt;=$V$2,AS285&lt;=$AA$2),LOOKUP(AS285,$V$2:$AA$2,$V285:$AA285),IF(AS284="A",0,IF(AC284=$H285,0,IF(AC284=0,0,AC284+1))))</f>
        <v>53</v>
      </c>
      <c r="AD285" s="5">
        <f t="shared" ref="AD285:AD348" si="145">IF(AND(AT285&gt;=$V$2,AT285&lt;=$AA$2),LOOKUP(AT285,$V$2:$AA$2,$V285:$AA285),IF(AT284="A",0,IF(AD284=$H285,0,IF(AD284=0,0,AD284+1))))</f>
        <v>47</v>
      </c>
      <c r="AE285" s="5">
        <f t="shared" ref="AE285:AE348" si="146">IF(AND(AU285&gt;=$V$2,AU285&lt;=$AA$2),LOOKUP(AU285,$V$2:$AA$2,$V285:$AA285),IF(AU284="A",0,IF(AE284=$H285,0,IF(AE284=0,0,AE284+1))))</f>
        <v>0</v>
      </c>
      <c r="AF285" s="5">
        <f t="shared" ref="AF285:AF348" si="147">IF(AND(AV285&gt;=$V$2,AV285&lt;=$AA$2),LOOKUP(AV285,$V$2:$AA$2,$V285:$AA285),IF(AV284="A",0,IF(AF284=$H285,0,IF(AF284=0,0,AF284+1))))</f>
        <v>0</v>
      </c>
      <c r="AG285" s="5">
        <f t="shared" ref="AG285:AG348" si="148">IF(AND(AW285&gt;=$V$2,AW285&lt;=$AA$2),LOOKUP(AW285,$V$2:$AA$2,$V285:$AA285),IF(AW284="A",0,IF(AG284=$H285,0,IF(AG284=0,0,AG284+1))))</f>
        <v>0</v>
      </c>
      <c r="AH285" s="5">
        <f t="shared" ref="AH285:AH348" si="149">IF(AND(AX285&gt;=$V$2,AX285&lt;=$AA$2),LOOKUP(AX285,$V$2:$AA$2,$V285:$AA285),IF(AX284="A",0,IF(AH284=$H285,0,IF(AH284=0,0,AH284+1))))</f>
        <v>0</v>
      </c>
      <c r="AI285" s="5">
        <f t="shared" ref="AI285:AI348" si="150">IF(AND(AY285&gt;=$V$2,AY285&lt;=$AA$2),LOOKUP(AY285,$V$2:$AA$2,$V285:$AA285),IF(AY284="A",0,IF(AI284=$H285,0,IF(AI284=0,0,AI284+1))))</f>
        <v>0</v>
      </c>
      <c r="AJ285" s="5">
        <f t="shared" ref="AJ285:AJ348" si="151">IF(AND(AZ285&gt;=$V$2,AZ285&lt;=$AA$2),LOOKUP(AZ285,$V$2:$AA$2,$V285:$AA285),IF(AZ284="A",0,IF(AJ284=$H285,0,IF(AJ284=0,0,AJ284+1))))</f>
        <v>0</v>
      </c>
      <c r="AK285" s="5">
        <f t="shared" ref="AK285:AK348" si="152">IF(AND(BA285&gt;=$V$2,BA285&lt;=$AA$2),LOOKUP(BA285,$V$2:$AA$2,$V285:$AA285),IF(BA284="A",0,IF(AK284=$H285,0,IF(AK284=0,0,AK284+1))))</f>
        <v>0</v>
      </c>
      <c r="AL285" s="5">
        <f t="shared" ref="AL285:AL348" si="153">IF(AND(BB285&gt;=$V$2,BB285&lt;=$AA$2),LOOKUP(BB285,$V$2:$AA$2,$V285:$AA285),IF(BB284="A",0,IF(AL284=$H285,0,IF(AL284=0,0,AL284+1))))</f>
        <v>0</v>
      </c>
      <c r="AM285" s="5">
        <f t="shared" ref="AM285:AM348" si="154">IF(AND(BC285&gt;=$V$2,BC285&lt;=$AA$2),LOOKUP(BC285,$V$2:$AA$2,$V285:$AA285),IF(BC284="A",0,IF(AM284=$H285,0,IF(AM284=0,0,AM284+1))))</f>
        <v>0</v>
      </c>
      <c r="AN285" s="5">
        <f t="shared" ref="AN285:AN348" si="155">IF(AND(BD285&gt;=$V$2,BD285&lt;=$AA$2),LOOKUP(BD285,$V$2:$AA$2,$V285:$AA285),IF(BD284="A",0,IF(AN284=$H285,0,IF(AN284=0,0,AN284+1))))</f>
        <v>0</v>
      </c>
      <c r="AO285" s="5">
        <f t="shared" ref="AO285:AO348" si="156">IF(AND(BE285&gt;=$V$2,BE285&lt;=$AA$2),LOOKUP(BE285,$V$2:$AA$2,$V285:$AA285),IF(BE284="A",0,IF(AO284=$H285,0,IF(AO284=0,0,AO284+1))))</f>
        <v>0</v>
      </c>
      <c r="AP285" s="5">
        <f t="shared" ref="AP285:AP348" si="157">IF(AND(BF285&gt;=$V$2,BF285&lt;=$AA$2),LOOKUP(BF285,$V$2:$AA$2,$V285:$AA285),IF(BF284="A",0,IF(AP284=$H285,0,IF(AP284=0,0,AP284+1))))</f>
        <v>0</v>
      </c>
      <c r="AQ285" s="5">
        <f t="shared" ref="AQ285:AQ348" si="158">IF(AND(BG285&gt;=$V$2,BG285&lt;=$AA$2),LOOKUP(BG285,$V$2:$AA$2,$V285:$AA285),IF(BG284="A",0,IF(AQ284=$H285,0,IF(AQ284=0,0,AQ284+1))))</f>
        <v>0</v>
      </c>
      <c r="AR285" s="5">
        <f t="shared" ref="AR285:AR348" si="159">IF(AND(BH285&gt;=$V$2,BH285&lt;=$AA$2),LOOKUP(BH285,$V$2:$AA$2,$V285:$AA285),IF(BH284="A",0,IF(AR284=$H285,0,IF(AR284=0,0,AR284+1))))</f>
        <v>0</v>
      </c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M285" s="40">
        <f>IF(OR(V284=4,V284=8,V284=12,V284=16,V284=20),$CA$1,0)</f>
        <v>0</v>
      </c>
      <c r="BN285" s="40">
        <f>IF(OR(W284=4,W284=8,W284=12,W284=16,W284=20),$CA$1,0)</f>
        <v>0</v>
      </c>
      <c r="BO285" s="40">
        <f>IF(OR(X284=4,X284=8,X284=12,X284=16,X284=20),$CA$1,0)</f>
        <v>0</v>
      </c>
      <c r="BP285" s="40">
        <f>IF(OR(Y284=4,Y284=8,Y284=12,Y284=16,Y284=20),$CA$1,0)</f>
        <v>0</v>
      </c>
      <c r="BQ285" s="40">
        <f>IF(OR(Z284=4,Z284=8,Z284=12,Z284=16,Z284=20),$CA$1,0)</f>
        <v>0</v>
      </c>
      <c r="BR285" s="40">
        <f>IF(OR(AA284=4,AA284=8,AA284=12,AA284=16,AA284=20),$CA$1,0)</f>
        <v>0</v>
      </c>
      <c r="BS285" s="40">
        <f>IF(V281=20,$CB$1,0)</f>
        <v>0</v>
      </c>
      <c r="BT285" s="40">
        <f>IF(W281=20,$CB$1,0)</f>
        <v>0</v>
      </c>
      <c r="BU285" s="40">
        <f>IF(X281=20,$CB$1,0)</f>
        <v>0</v>
      </c>
      <c r="BV285" s="40">
        <f>IF(Y281=20,$CB$1,0)</f>
        <v>0</v>
      </c>
      <c r="BW285" s="40">
        <f>IF(Z281=20,$CB$1,0)</f>
        <v>0</v>
      </c>
      <c r="BX285" s="40">
        <f>IF(AA281=20,$CB$1,0)</f>
        <v>0</v>
      </c>
      <c r="BY285" s="41">
        <f t="shared" si="139"/>
        <v>0</v>
      </c>
      <c r="BZ285" s="41">
        <f t="shared" si="140"/>
        <v>651525.49583333335</v>
      </c>
      <c r="CA285" s="58">
        <f t="shared" si="130"/>
        <v>45068</v>
      </c>
      <c r="CB285" s="47">
        <f t="shared" si="141"/>
        <v>0</v>
      </c>
    </row>
    <row r="286" spans="2:80" ht="15" hidden="1" outlineLevel="1" x14ac:dyDescent="0.2">
      <c r="B286" s="18">
        <f t="shared" si="134"/>
        <v>45075</v>
      </c>
      <c r="C286" s="17" t="s">
        <v>1</v>
      </c>
      <c r="D286" s="19">
        <f t="shared" si="135"/>
        <v>45081</v>
      </c>
      <c r="E286" s="20">
        <f t="shared" si="136"/>
        <v>5</v>
      </c>
      <c r="F286" s="21">
        <f t="shared" si="137"/>
        <v>2023</v>
      </c>
      <c r="G286" s="11">
        <f t="shared" si="143"/>
        <v>22</v>
      </c>
      <c r="H286" s="10">
        <f t="shared" si="143"/>
        <v>66</v>
      </c>
      <c r="I286" s="11"/>
      <c r="J286" s="11"/>
      <c r="K286" s="11"/>
      <c r="L286" s="11"/>
      <c r="M286" s="11"/>
      <c r="N286" s="11"/>
      <c r="O286" s="14"/>
      <c r="P286" s="14"/>
      <c r="Q286" s="14"/>
      <c r="R286" s="14"/>
      <c r="S286" s="14"/>
      <c r="T286" s="14"/>
      <c r="V286" s="22">
        <f t="shared" si="142"/>
        <v>0</v>
      </c>
      <c r="W286" s="22">
        <f t="shared" si="142"/>
        <v>0</v>
      </c>
      <c r="X286" s="22">
        <f t="shared" si="142"/>
        <v>0</v>
      </c>
      <c r="Y286" s="22">
        <f t="shared" si="142"/>
        <v>0</v>
      </c>
      <c r="Z286" s="22">
        <f t="shared" si="142"/>
        <v>0</v>
      </c>
      <c r="AA286" s="22">
        <f t="shared" si="142"/>
        <v>0</v>
      </c>
      <c r="AB286" s="1"/>
      <c r="AC286" s="5">
        <f t="shared" si="144"/>
        <v>54</v>
      </c>
      <c r="AD286" s="5">
        <f t="shared" si="145"/>
        <v>48</v>
      </c>
      <c r="AE286" s="5">
        <f t="shared" si="146"/>
        <v>0</v>
      </c>
      <c r="AF286" s="5">
        <f t="shared" si="147"/>
        <v>0</v>
      </c>
      <c r="AG286" s="5">
        <f t="shared" si="148"/>
        <v>0</v>
      </c>
      <c r="AH286" s="5">
        <f t="shared" si="149"/>
        <v>0</v>
      </c>
      <c r="AI286" s="5">
        <f t="shared" si="150"/>
        <v>0</v>
      </c>
      <c r="AJ286" s="5">
        <f t="shared" si="151"/>
        <v>0</v>
      </c>
      <c r="AK286" s="5">
        <f t="shared" si="152"/>
        <v>0</v>
      </c>
      <c r="AL286" s="5">
        <f t="shared" si="153"/>
        <v>0</v>
      </c>
      <c r="AM286" s="5">
        <f t="shared" si="154"/>
        <v>0</v>
      </c>
      <c r="AN286" s="5">
        <f t="shared" si="155"/>
        <v>0</v>
      </c>
      <c r="AO286" s="5">
        <f t="shared" si="156"/>
        <v>0</v>
      </c>
      <c r="AP286" s="5">
        <f t="shared" si="157"/>
        <v>0</v>
      </c>
      <c r="AQ286" s="5">
        <f t="shared" si="158"/>
        <v>0</v>
      </c>
      <c r="AR286" s="5">
        <f t="shared" si="159"/>
        <v>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M286" s="40">
        <f>IF(OR(V285=4,V285=8,V285=12,V285=16,V285=20),$CA$1,0)</f>
        <v>0</v>
      </c>
      <c r="BN286" s="40">
        <f>IF(OR(W285=4,W285=8,W285=12,W285=16,W285=20),$CA$1,0)</f>
        <v>0</v>
      </c>
      <c r="BO286" s="40">
        <f>IF(OR(X285=4,X285=8,X285=12,X285=16,X285=20),$CA$1,0)</f>
        <v>0</v>
      </c>
      <c r="BP286" s="40">
        <f>IF(OR(Y285=4,Y285=8,Y285=12,Y285=16,Y285=20),$CA$1,0)</f>
        <v>0</v>
      </c>
      <c r="BQ286" s="40">
        <f>IF(OR(Z285=4,Z285=8,Z285=12,Z285=16,Z285=20),$CA$1,0)</f>
        <v>0</v>
      </c>
      <c r="BR286" s="40">
        <f>IF(OR(AA285=4,AA285=8,AA285=12,AA285=16,AA285=20),$CA$1,0)</f>
        <v>0</v>
      </c>
      <c r="BS286" s="40">
        <f>IF(V282=20,$CB$1,0)</f>
        <v>0</v>
      </c>
      <c r="BT286" s="40">
        <f>IF(W282=20,$CB$1,0)</f>
        <v>0</v>
      </c>
      <c r="BU286" s="40">
        <f>IF(X282=20,$CB$1,0)</f>
        <v>0</v>
      </c>
      <c r="BV286" s="40">
        <f>IF(Y282=20,$CB$1,0)</f>
        <v>0</v>
      </c>
      <c r="BW286" s="40">
        <f>IF(Z282=20,$CB$1,0)</f>
        <v>0</v>
      </c>
      <c r="BX286" s="40">
        <f>IF(AA282=20,$CB$1,0)</f>
        <v>0</v>
      </c>
      <c r="BY286" s="41">
        <f t="shared" si="139"/>
        <v>0</v>
      </c>
      <c r="BZ286" s="41">
        <f t="shared" si="140"/>
        <v>651525.49583333335</v>
      </c>
      <c r="CA286" s="58">
        <f t="shared" si="130"/>
        <v>45075</v>
      </c>
      <c r="CB286" s="47">
        <f t="shared" si="141"/>
        <v>651525.49583333335</v>
      </c>
    </row>
    <row r="287" spans="2:80" ht="15" hidden="1" outlineLevel="1" x14ac:dyDescent="0.2">
      <c r="B287" s="18">
        <f t="shared" si="134"/>
        <v>45082</v>
      </c>
      <c r="C287" s="17" t="s">
        <v>1</v>
      </c>
      <c r="D287" s="19">
        <f t="shared" si="135"/>
        <v>45088</v>
      </c>
      <c r="E287" s="20">
        <f t="shared" si="136"/>
        <v>6</v>
      </c>
      <c r="F287" s="21">
        <f t="shared" si="137"/>
        <v>2023</v>
      </c>
      <c r="G287" s="11">
        <f t="shared" si="143"/>
        <v>22</v>
      </c>
      <c r="H287" s="10">
        <f t="shared" si="143"/>
        <v>66</v>
      </c>
      <c r="I287" s="11"/>
      <c r="J287" s="11"/>
      <c r="K287" s="11"/>
      <c r="L287" s="11"/>
      <c r="M287" s="11"/>
      <c r="N287" s="11"/>
      <c r="O287" s="14"/>
      <c r="P287" s="14"/>
      <c r="Q287" s="14"/>
      <c r="R287" s="14"/>
      <c r="S287" s="14"/>
      <c r="T287" s="14"/>
      <c r="V287" s="22">
        <f t="shared" si="142"/>
        <v>0</v>
      </c>
      <c r="W287" s="22">
        <f t="shared" si="142"/>
        <v>0</v>
      </c>
      <c r="X287" s="22">
        <f t="shared" si="142"/>
        <v>0</v>
      </c>
      <c r="Y287" s="22">
        <f t="shared" si="142"/>
        <v>0</v>
      </c>
      <c r="Z287" s="22">
        <f t="shared" si="142"/>
        <v>0</v>
      </c>
      <c r="AA287" s="22">
        <f t="shared" si="142"/>
        <v>0</v>
      </c>
      <c r="AB287" s="1"/>
      <c r="AC287" s="5">
        <f t="shared" si="144"/>
        <v>55</v>
      </c>
      <c r="AD287" s="5">
        <f t="shared" si="145"/>
        <v>49</v>
      </c>
      <c r="AE287" s="5">
        <f t="shared" si="146"/>
        <v>0</v>
      </c>
      <c r="AF287" s="5">
        <f t="shared" si="147"/>
        <v>0</v>
      </c>
      <c r="AG287" s="5">
        <f t="shared" si="148"/>
        <v>0</v>
      </c>
      <c r="AH287" s="5">
        <f t="shared" si="149"/>
        <v>0</v>
      </c>
      <c r="AI287" s="5">
        <f t="shared" si="150"/>
        <v>0</v>
      </c>
      <c r="AJ287" s="5">
        <f t="shared" si="151"/>
        <v>0</v>
      </c>
      <c r="AK287" s="5">
        <f t="shared" si="152"/>
        <v>0</v>
      </c>
      <c r="AL287" s="5">
        <f t="shared" si="153"/>
        <v>0</v>
      </c>
      <c r="AM287" s="5">
        <f t="shared" si="154"/>
        <v>0</v>
      </c>
      <c r="AN287" s="5">
        <f t="shared" si="155"/>
        <v>0</v>
      </c>
      <c r="AO287" s="5">
        <f t="shared" si="156"/>
        <v>0</v>
      </c>
      <c r="AP287" s="5">
        <f t="shared" si="157"/>
        <v>0</v>
      </c>
      <c r="AQ287" s="5">
        <f t="shared" si="158"/>
        <v>0</v>
      </c>
      <c r="AR287" s="5">
        <f t="shared" si="159"/>
        <v>0</v>
      </c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M287" s="40">
        <f>IF(OR(V286=4,V286=8,V286=12,V286=16,V286=20),$CA$1,0)</f>
        <v>0</v>
      </c>
      <c r="BN287" s="40">
        <f>IF(OR(W286=4,W286=8,W286=12,W286=16,W286=20),$CA$1,0)</f>
        <v>0</v>
      </c>
      <c r="BO287" s="40">
        <f>IF(OR(X286=4,X286=8,X286=12,X286=16,X286=20),$CA$1,0)</f>
        <v>0</v>
      </c>
      <c r="BP287" s="40">
        <f>IF(OR(Y286=4,Y286=8,Y286=12,Y286=16,Y286=20),$CA$1,0)</f>
        <v>0</v>
      </c>
      <c r="BQ287" s="40">
        <f>IF(OR(Z286=4,Z286=8,Z286=12,Z286=16,Z286=20),$CA$1,0)</f>
        <v>0</v>
      </c>
      <c r="BR287" s="40">
        <f>IF(OR(AA286=4,AA286=8,AA286=12,AA286=16,AA286=20),$CA$1,0)</f>
        <v>0</v>
      </c>
      <c r="BS287" s="40">
        <f>IF(V283=20,$CB$1,0)</f>
        <v>0</v>
      </c>
      <c r="BT287" s="40">
        <f>IF(W283=20,$CB$1,0)</f>
        <v>0</v>
      </c>
      <c r="BU287" s="40">
        <f>IF(X283=20,$CB$1,0)</f>
        <v>0</v>
      </c>
      <c r="BV287" s="40">
        <f>IF(Y283=20,$CB$1,0)</f>
        <v>0</v>
      </c>
      <c r="BW287" s="40">
        <f>IF(Z283=20,$CB$1,0)</f>
        <v>0</v>
      </c>
      <c r="BX287" s="40">
        <f>IF(AA283=20,$CB$1,0)</f>
        <v>0</v>
      </c>
      <c r="BY287" s="41">
        <f t="shared" si="139"/>
        <v>0</v>
      </c>
      <c r="BZ287" s="41">
        <f t="shared" si="140"/>
        <v>0</v>
      </c>
      <c r="CA287" s="58">
        <f t="shared" si="130"/>
        <v>45082</v>
      </c>
      <c r="CB287" s="47">
        <f t="shared" si="141"/>
        <v>0</v>
      </c>
    </row>
    <row r="288" spans="2:80" ht="15" hidden="1" outlineLevel="1" x14ac:dyDescent="0.2">
      <c r="B288" s="18">
        <f t="shared" si="134"/>
        <v>45089</v>
      </c>
      <c r="C288" s="17" t="s">
        <v>1</v>
      </c>
      <c r="D288" s="19">
        <f t="shared" si="135"/>
        <v>45095</v>
      </c>
      <c r="E288" s="20">
        <f t="shared" si="136"/>
        <v>6</v>
      </c>
      <c r="F288" s="21">
        <f t="shared" si="137"/>
        <v>2023</v>
      </c>
      <c r="G288" s="11">
        <f t="shared" si="143"/>
        <v>22</v>
      </c>
      <c r="H288" s="10">
        <f t="shared" si="143"/>
        <v>66</v>
      </c>
      <c r="I288" s="11"/>
      <c r="J288" s="11"/>
      <c r="K288" s="11"/>
      <c r="L288" s="11"/>
      <c r="M288" s="11"/>
      <c r="N288" s="11"/>
      <c r="O288" s="14"/>
      <c r="P288" s="14"/>
      <c r="Q288" s="14"/>
      <c r="R288" s="14"/>
      <c r="S288" s="14"/>
      <c r="T288" s="14"/>
      <c r="V288" s="22">
        <f t="shared" si="142"/>
        <v>0</v>
      </c>
      <c r="W288" s="22">
        <f t="shared" si="142"/>
        <v>0</v>
      </c>
      <c r="X288" s="22">
        <f t="shared" si="142"/>
        <v>0</v>
      </c>
      <c r="Y288" s="22">
        <f t="shared" si="142"/>
        <v>0</v>
      </c>
      <c r="Z288" s="22">
        <f t="shared" si="142"/>
        <v>0</v>
      </c>
      <c r="AA288" s="22">
        <f t="shared" si="142"/>
        <v>0</v>
      </c>
      <c r="AB288" s="1"/>
      <c r="AC288" s="5">
        <f t="shared" si="144"/>
        <v>56</v>
      </c>
      <c r="AD288" s="5">
        <f t="shared" si="145"/>
        <v>50</v>
      </c>
      <c r="AE288" s="5">
        <f t="shared" si="146"/>
        <v>0</v>
      </c>
      <c r="AF288" s="5">
        <f t="shared" si="147"/>
        <v>0</v>
      </c>
      <c r="AG288" s="5">
        <f t="shared" si="148"/>
        <v>0</v>
      </c>
      <c r="AH288" s="5">
        <f t="shared" si="149"/>
        <v>0</v>
      </c>
      <c r="AI288" s="5">
        <f t="shared" si="150"/>
        <v>0</v>
      </c>
      <c r="AJ288" s="5">
        <f t="shared" si="151"/>
        <v>0</v>
      </c>
      <c r="AK288" s="5">
        <f t="shared" si="152"/>
        <v>0</v>
      </c>
      <c r="AL288" s="5">
        <f t="shared" si="153"/>
        <v>0</v>
      </c>
      <c r="AM288" s="5">
        <f t="shared" si="154"/>
        <v>0</v>
      </c>
      <c r="AN288" s="5">
        <f t="shared" si="155"/>
        <v>0</v>
      </c>
      <c r="AO288" s="5">
        <f t="shared" si="156"/>
        <v>0</v>
      </c>
      <c r="AP288" s="5">
        <f t="shared" si="157"/>
        <v>0</v>
      </c>
      <c r="AQ288" s="5">
        <f t="shared" si="158"/>
        <v>0</v>
      </c>
      <c r="AR288" s="5">
        <f t="shared" si="159"/>
        <v>0</v>
      </c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M288" s="40">
        <f>IF(OR(V287=4,V287=8,V287=12,V287=16,V287=20),$CA$1,0)</f>
        <v>0</v>
      </c>
      <c r="BN288" s="40">
        <f>IF(OR(W287=4,W287=8,W287=12,W287=16,W287=20),$CA$1,0)</f>
        <v>0</v>
      </c>
      <c r="BO288" s="40">
        <f>IF(OR(X287=4,X287=8,X287=12,X287=16,X287=20),$CA$1,0)</f>
        <v>0</v>
      </c>
      <c r="BP288" s="40">
        <f>IF(OR(Y287=4,Y287=8,Y287=12,Y287=16,Y287=20),$CA$1,0)</f>
        <v>0</v>
      </c>
      <c r="BQ288" s="40">
        <f>IF(OR(Z287=4,Z287=8,Z287=12,Z287=16,Z287=20),$CA$1,0)</f>
        <v>0</v>
      </c>
      <c r="BR288" s="40">
        <f>IF(OR(AA287=4,AA287=8,AA287=12,AA287=16,AA287=20),$CA$1,0)</f>
        <v>0</v>
      </c>
      <c r="BS288" s="40">
        <f>IF(V284=20,$CB$1,0)</f>
        <v>0</v>
      </c>
      <c r="BT288" s="40">
        <f>IF(W284=20,$CB$1,0)</f>
        <v>0</v>
      </c>
      <c r="BU288" s="40">
        <f>IF(X284=20,$CB$1,0)</f>
        <v>0</v>
      </c>
      <c r="BV288" s="40">
        <f>IF(Y284=20,$CB$1,0)</f>
        <v>0</v>
      </c>
      <c r="BW288" s="40">
        <f>IF(Z284=20,$CB$1,0)</f>
        <v>0</v>
      </c>
      <c r="BX288" s="40">
        <f>IF(AA284=20,$CB$1,0)</f>
        <v>0</v>
      </c>
      <c r="BY288" s="41">
        <f t="shared" si="139"/>
        <v>0</v>
      </c>
      <c r="BZ288" s="41">
        <f t="shared" si="140"/>
        <v>0</v>
      </c>
      <c r="CA288" s="58">
        <f t="shared" si="130"/>
        <v>45089</v>
      </c>
      <c r="CB288" s="47">
        <f t="shared" si="141"/>
        <v>0</v>
      </c>
    </row>
    <row r="289" spans="2:80" ht="15" hidden="1" outlineLevel="1" x14ac:dyDescent="0.2">
      <c r="B289" s="18">
        <f t="shared" si="134"/>
        <v>45096</v>
      </c>
      <c r="C289" s="17" t="s">
        <v>1</v>
      </c>
      <c r="D289" s="19">
        <f t="shared" si="135"/>
        <v>45102</v>
      </c>
      <c r="E289" s="20">
        <f t="shared" si="136"/>
        <v>6</v>
      </c>
      <c r="F289" s="21">
        <f t="shared" si="137"/>
        <v>2023</v>
      </c>
      <c r="G289" s="11">
        <f t="shared" si="143"/>
        <v>22</v>
      </c>
      <c r="H289" s="10">
        <f t="shared" si="143"/>
        <v>66</v>
      </c>
      <c r="I289" s="11"/>
      <c r="J289" s="11"/>
      <c r="K289" s="11"/>
      <c r="L289" s="11"/>
      <c r="M289" s="11"/>
      <c r="N289" s="11"/>
      <c r="O289" s="14"/>
      <c r="P289" s="14"/>
      <c r="Q289" s="14"/>
      <c r="R289" s="14"/>
      <c r="S289" s="14"/>
      <c r="T289" s="14"/>
      <c r="V289" s="22">
        <f t="shared" si="142"/>
        <v>0</v>
      </c>
      <c r="W289" s="22">
        <f t="shared" si="142"/>
        <v>0</v>
      </c>
      <c r="X289" s="22">
        <f t="shared" si="142"/>
        <v>0</v>
      </c>
      <c r="Y289" s="22">
        <f t="shared" si="142"/>
        <v>0</v>
      </c>
      <c r="Z289" s="22">
        <f t="shared" si="142"/>
        <v>0</v>
      </c>
      <c r="AA289" s="22">
        <f t="shared" si="142"/>
        <v>0</v>
      </c>
      <c r="AB289" s="1"/>
      <c r="AC289" s="5">
        <f t="shared" si="144"/>
        <v>57</v>
      </c>
      <c r="AD289" s="5">
        <f t="shared" si="145"/>
        <v>51</v>
      </c>
      <c r="AE289" s="5">
        <f t="shared" si="146"/>
        <v>0</v>
      </c>
      <c r="AF289" s="5">
        <f t="shared" si="147"/>
        <v>0</v>
      </c>
      <c r="AG289" s="5">
        <f t="shared" si="148"/>
        <v>0</v>
      </c>
      <c r="AH289" s="5">
        <f t="shared" si="149"/>
        <v>0</v>
      </c>
      <c r="AI289" s="5">
        <f t="shared" si="150"/>
        <v>0</v>
      </c>
      <c r="AJ289" s="5">
        <f t="shared" si="151"/>
        <v>0</v>
      </c>
      <c r="AK289" s="5">
        <f t="shared" si="152"/>
        <v>0</v>
      </c>
      <c r="AL289" s="5">
        <f t="shared" si="153"/>
        <v>0</v>
      </c>
      <c r="AM289" s="5">
        <f t="shared" si="154"/>
        <v>0</v>
      </c>
      <c r="AN289" s="5">
        <f t="shared" si="155"/>
        <v>0</v>
      </c>
      <c r="AO289" s="5">
        <f t="shared" si="156"/>
        <v>0</v>
      </c>
      <c r="AP289" s="5">
        <f t="shared" si="157"/>
        <v>0</v>
      </c>
      <c r="AQ289" s="5">
        <f t="shared" si="158"/>
        <v>0</v>
      </c>
      <c r="AR289" s="5">
        <f t="shared" si="159"/>
        <v>0</v>
      </c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M289" s="40">
        <f>IF(OR(V288=4,V288=8,V288=12,V288=16,V288=20),$CA$1,0)</f>
        <v>0</v>
      </c>
      <c r="BN289" s="40">
        <f>IF(OR(W288=4,W288=8,W288=12,W288=16,W288=20),$CA$1,0)</f>
        <v>0</v>
      </c>
      <c r="BO289" s="40">
        <f>IF(OR(X288=4,X288=8,X288=12,X288=16,X288=20),$CA$1,0)</f>
        <v>0</v>
      </c>
      <c r="BP289" s="40">
        <f>IF(OR(Y288=4,Y288=8,Y288=12,Y288=16,Y288=20),$CA$1,0)</f>
        <v>0</v>
      </c>
      <c r="BQ289" s="40">
        <f>IF(OR(Z288=4,Z288=8,Z288=12,Z288=16,Z288=20),$CA$1,0)</f>
        <v>0</v>
      </c>
      <c r="BR289" s="40">
        <f>IF(OR(AA288=4,AA288=8,AA288=12,AA288=16,AA288=20),$CA$1,0)</f>
        <v>0</v>
      </c>
      <c r="BS289" s="40">
        <f>IF(V285=20,$CB$1,0)</f>
        <v>0</v>
      </c>
      <c r="BT289" s="40">
        <f>IF(W285=20,$CB$1,0)</f>
        <v>0</v>
      </c>
      <c r="BU289" s="40">
        <f>IF(X285=20,$CB$1,0)</f>
        <v>0</v>
      </c>
      <c r="BV289" s="40">
        <f>IF(Y285=20,$CB$1,0)</f>
        <v>0</v>
      </c>
      <c r="BW289" s="40">
        <f>IF(Z285=20,$CB$1,0)</f>
        <v>0</v>
      </c>
      <c r="BX289" s="40">
        <f>IF(AA285=20,$CB$1,0)</f>
        <v>0</v>
      </c>
      <c r="BY289" s="41">
        <f t="shared" si="139"/>
        <v>0</v>
      </c>
      <c r="BZ289" s="41">
        <f t="shared" si="140"/>
        <v>0</v>
      </c>
      <c r="CA289" s="58">
        <f t="shared" si="130"/>
        <v>45096</v>
      </c>
      <c r="CB289" s="47">
        <f t="shared" si="141"/>
        <v>0</v>
      </c>
    </row>
    <row r="290" spans="2:80" ht="15" hidden="1" outlineLevel="1" x14ac:dyDescent="0.2">
      <c r="B290" s="18">
        <f t="shared" si="134"/>
        <v>45103</v>
      </c>
      <c r="C290" s="17" t="s">
        <v>1</v>
      </c>
      <c r="D290" s="19">
        <f t="shared" si="135"/>
        <v>45109</v>
      </c>
      <c r="E290" s="20">
        <f t="shared" si="136"/>
        <v>6</v>
      </c>
      <c r="F290" s="21">
        <f t="shared" si="137"/>
        <v>2023</v>
      </c>
      <c r="G290" s="11">
        <f t="shared" si="143"/>
        <v>22</v>
      </c>
      <c r="H290" s="10">
        <f t="shared" si="143"/>
        <v>66</v>
      </c>
      <c r="I290" s="11"/>
      <c r="J290" s="11"/>
      <c r="K290" s="11"/>
      <c r="L290" s="11"/>
      <c r="M290" s="11"/>
      <c r="N290" s="11"/>
      <c r="O290" s="14"/>
      <c r="P290" s="14"/>
      <c r="Q290" s="14"/>
      <c r="R290" s="14"/>
      <c r="S290" s="14"/>
      <c r="T290" s="14"/>
      <c r="V290" s="22">
        <f t="shared" si="142"/>
        <v>0</v>
      </c>
      <c r="W290" s="22">
        <f t="shared" si="142"/>
        <v>0</v>
      </c>
      <c r="X290" s="22">
        <f t="shared" si="142"/>
        <v>0</v>
      </c>
      <c r="Y290" s="22">
        <f t="shared" si="142"/>
        <v>0</v>
      </c>
      <c r="Z290" s="22">
        <f t="shared" si="142"/>
        <v>0</v>
      </c>
      <c r="AA290" s="22">
        <f t="shared" si="142"/>
        <v>0</v>
      </c>
      <c r="AB290" s="1"/>
      <c r="AC290" s="5">
        <f t="shared" si="144"/>
        <v>58</v>
      </c>
      <c r="AD290" s="5">
        <f t="shared" si="145"/>
        <v>52</v>
      </c>
      <c r="AE290" s="5">
        <f t="shared" si="146"/>
        <v>0</v>
      </c>
      <c r="AF290" s="5">
        <f t="shared" si="147"/>
        <v>0</v>
      </c>
      <c r="AG290" s="5">
        <f t="shared" si="148"/>
        <v>0</v>
      </c>
      <c r="AH290" s="5">
        <f t="shared" si="149"/>
        <v>0</v>
      </c>
      <c r="AI290" s="5">
        <f t="shared" si="150"/>
        <v>0</v>
      </c>
      <c r="AJ290" s="5">
        <f t="shared" si="151"/>
        <v>0</v>
      </c>
      <c r="AK290" s="5">
        <f t="shared" si="152"/>
        <v>0</v>
      </c>
      <c r="AL290" s="5">
        <f t="shared" si="153"/>
        <v>0</v>
      </c>
      <c r="AM290" s="5">
        <f t="shared" si="154"/>
        <v>0</v>
      </c>
      <c r="AN290" s="5">
        <f t="shared" si="155"/>
        <v>0</v>
      </c>
      <c r="AO290" s="5">
        <f t="shared" si="156"/>
        <v>0</v>
      </c>
      <c r="AP290" s="5">
        <f t="shared" si="157"/>
        <v>0</v>
      </c>
      <c r="AQ290" s="5">
        <f t="shared" si="158"/>
        <v>0</v>
      </c>
      <c r="AR290" s="5">
        <f t="shared" si="159"/>
        <v>0</v>
      </c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M290" s="40">
        <f>IF(OR(V289=4,V289=8,V289=12,V289=16,V289=20),$CA$1,0)</f>
        <v>0</v>
      </c>
      <c r="BN290" s="40">
        <f>IF(OR(W289=4,W289=8,W289=12,W289=16,W289=20),$CA$1,0)</f>
        <v>0</v>
      </c>
      <c r="BO290" s="40">
        <f>IF(OR(X289=4,X289=8,X289=12,X289=16,X289=20),$CA$1,0)</f>
        <v>0</v>
      </c>
      <c r="BP290" s="40">
        <f>IF(OR(Y289=4,Y289=8,Y289=12,Y289=16,Y289=20),$CA$1,0)</f>
        <v>0</v>
      </c>
      <c r="BQ290" s="40">
        <f>IF(OR(Z289=4,Z289=8,Z289=12,Z289=16,Z289=20),$CA$1,0)</f>
        <v>0</v>
      </c>
      <c r="BR290" s="40">
        <f>IF(OR(AA289=4,AA289=8,AA289=12,AA289=16,AA289=20),$CA$1,0)</f>
        <v>0</v>
      </c>
      <c r="BS290" s="40">
        <f>IF(V286=20,$CB$1,0)</f>
        <v>0</v>
      </c>
      <c r="BT290" s="40">
        <f>IF(W286=20,$CB$1,0)</f>
        <v>0</v>
      </c>
      <c r="BU290" s="40">
        <f>IF(X286=20,$CB$1,0)</f>
        <v>0</v>
      </c>
      <c r="BV290" s="40">
        <f>IF(Y286=20,$CB$1,0)</f>
        <v>0</v>
      </c>
      <c r="BW290" s="40">
        <f>IF(Z286=20,$CB$1,0)</f>
        <v>0</v>
      </c>
      <c r="BX290" s="40">
        <f>IF(AA286=20,$CB$1,0)</f>
        <v>0</v>
      </c>
      <c r="BY290" s="41">
        <f t="shared" si="139"/>
        <v>0</v>
      </c>
      <c r="BZ290" s="41">
        <f t="shared" si="140"/>
        <v>0</v>
      </c>
      <c r="CA290" s="58">
        <f t="shared" si="130"/>
        <v>45103</v>
      </c>
      <c r="CB290" s="47">
        <f t="shared" si="141"/>
        <v>0</v>
      </c>
    </row>
    <row r="291" spans="2:80" ht="15" hidden="1" outlineLevel="1" x14ac:dyDescent="0.2">
      <c r="B291" s="18">
        <f t="shared" si="134"/>
        <v>45110</v>
      </c>
      <c r="C291" s="17" t="s">
        <v>1</v>
      </c>
      <c r="D291" s="19">
        <f t="shared" si="135"/>
        <v>45116</v>
      </c>
      <c r="E291" s="20">
        <f t="shared" si="136"/>
        <v>7</v>
      </c>
      <c r="F291" s="21">
        <f t="shared" si="137"/>
        <v>2023</v>
      </c>
      <c r="G291" s="11">
        <f t="shared" si="143"/>
        <v>22</v>
      </c>
      <c r="H291" s="10">
        <f t="shared" si="143"/>
        <v>66</v>
      </c>
      <c r="I291" s="11"/>
      <c r="J291" s="11"/>
      <c r="K291" s="11"/>
      <c r="L291" s="11"/>
      <c r="M291" s="11"/>
      <c r="N291" s="11"/>
      <c r="O291" s="14"/>
      <c r="P291" s="14"/>
      <c r="Q291" s="14"/>
      <c r="R291" s="14"/>
      <c r="S291" s="14"/>
      <c r="T291" s="14"/>
      <c r="V291" s="22">
        <f t="shared" si="142"/>
        <v>0</v>
      </c>
      <c r="W291" s="22">
        <f t="shared" si="142"/>
        <v>0</v>
      </c>
      <c r="X291" s="22">
        <f t="shared" si="142"/>
        <v>0</v>
      </c>
      <c r="Y291" s="22">
        <f t="shared" si="142"/>
        <v>0</v>
      </c>
      <c r="Z291" s="22">
        <f t="shared" si="142"/>
        <v>0</v>
      </c>
      <c r="AA291" s="22">
        <f t="shared" si="142"/>
        <v>0</v>
      </c>
      <c r="AB291" s="1"/>
      <c r="AC291" s="5">
        <f t="shared" si="144"/>
        <v>59</v>
      </c>
      <c r="AD291" s="5">
        <f t="shared" si="145"/>
        <v>53</v>
      </c>
      <c r="AE291" s="5">
        <f t="shared" si="146"/>
        <v>0</v>
      </c>
      <c r="AF291" s="5">
        <f t="shared" si="147"/>
        <v>0</v>
      </c>
      <c r="AG291" s="5">
        <f t="shared" si="148"/>
        <v>0</v>
      </c>
      <c r="AH291" s="5">
        <f t="shared" si="149"/>
        <v>0</v>
      </c>
      <c r="AI291" s="5">
        <f t="shared" si="150"/>
        <v>0</v>
      </c>
      <c r="AJ291" s="5">
        <f t="shared" si="151"/>
        <v>0</v>
      </c>
      <c r="AK291" s="5">
        <f t="shared" si="152"/>
        <v>0</v>
      </c>
      <c r="AL291" s="5">
        <f t="shared" si="153"/>
        <v>0</v>
      </c>
      <c r="AM291" s="5">
        <f t="shared" si="154"/>
        <v>0</v>
      </c>
      <c r="AN291" s="5">
        <f t="shared" si="155"/>
        <v>0</v>
      </c>
      <c r="AO291" s="5">
        <f t="shared" si="156"/>
        <v>0</v>
      </c>
      <c r="AP291" s="5">
        <f t="shared" si="157"/>
        <v>0</v>
      </c>
      <c r="AQ291" s="5">
        <f t="shared" si="158"/>
        <v>0</v>
      </c>
      <c r="AR291" s="5">
        <f t="shared" si="159"/>
        <v>0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M291" s="40">
        <f>IF(OR(V290=4,V290=8,V290=12,V290=16,V290=20),$CA$1,0)</f>
        <v>0</v>
      </c>
      <c r="BN291" s="40">
        <f>IF(OR(W290=4,W290=8,W290=12,W290=16,W290=20),$CA$1,0)</f>
        <v>0</v>
      </c>
      <c r="BO291" s="40">
        <f>IF(OR(X290=4,X290=8,X290=12,X290=16,X290=20),$CA$1,0)</f>
        <v>0</v>
      </c>
      <c r="BP291" s="40">
        <f>IF(OR(Y290=4,Y290=8,Y290=12,Y290=16,Y290=20),$CA$1,0)</f>
        <v>0</v>
      </c>
      <c r="BQ291" s="40">
        <f>IF(OR(Z290=4,Z290=8,Z290=12,Z290=16,Z290=20),$CA$1,0)</f>
        <v>0</v>
      </c>
      <c r="BR291" s="40">
        <f>IF(OR(AA290=4,AA290=8,AA290=12,AA290=16,AA290=20),$CA$1,0)</f>
        <v>0</v>
      </c>
      <c r="BS291" s="40">
        <f>IF(V287=20,$CB$1,0)</f>
        <v>0</v>
      </c>
      <c r="BT291" s="40">
        <f>IF(W287=20,$CB$1,0)</f>
        <v>0</v>
      </c>
      <c r="BU291" s="40">
        <f>IF(X287=20,$CB$1,0)</f>
        <v>0</v>
      </c>
      <c r="BV291" s="40">
        <f>IF(Y287=20,$CB$1,0)</f>
        <v>0</v>
      </c>
      <c r="BW291" s="40">
        <f>IF(Z287=20,$CB$1,0)</f>
        <v>0</v>
      </c>
      <c r="BX291" s="40">
        <f>IF(AA287=20,$CB$1,0)</f>
        <v>0</v>
      </c>
      <c r="BY291" s="41">
        <f t="shared" si="139"/>
        <v>0</v>
      </c>
      <c r="BZ291" s="41">
        <f t="shared" si="140"/>
        <v>0</v>
      </c>
      <c r="CA291" s="58">
        <f t="shared" si="130"/>
        <v>45110</v>
      </c>
      <c r="CB291" s="47">
        <f t="shared" si="141"/>
        <v>0</v>
      </c>
    </row>
    <row r="292" spans="2:80" ht="15" hidden="1" outlineLevel="1" x14ac:dyDescent="0.2">
      <c r="B292" s="18">
        <f t="shared" si="134"/>
        <v>45117</v>
      </c>
      <c r="C292" s="17" t="s">
        <v>1</v>
      </c>
      <c r="D292" s="19">
        <f t="shared" si="135"/>
        <v>45123</v>
      </c>
      <c r="E292" s="20">
        <f t="shared" si="136"/>
        <v>7</v>
      </c>
      <c r="F292" s="21">
        <f t="shared" si="137"/>
        <v>2023</v>
      </c>
      <c r="G292" s="11">
        <f t="shared" si="143"/>
        <v>22</v>
      </c>
      <c r="H292" s="10">
        <f t="shared" si="143"/>
        <v>66</v>
      </c>
      <c r="I292" s="11"/>
      <c r="J292" s="11"/>
      <c r="K292" s="11"/>
      <c r="L292" s="11"/>
      <c r="M292" s="11"/>
      <c r="N292" s="11"/>
      <c r="O292" s="14"/>
      <c r="P292" s="14"/>
      <c r="Q292" s="14"/>
      <c r="R292" s="14"/>
      <c r="S292" s="14"/>
      <c r="T292" s="14"/>
      <c r="V292" s="22">
        <f t="shared" ref="V292:AA307" si="160">IF(I292&gt;0,I292,IF(O292=1,$B292+2,IF(O291=1,1,IF(O291=2,0,IF(V291=$G291,0,(IF(V291&gt;=1,V291+1,0)))))))</f>
        <v>0</v>
      </c>
      <c r="W292" s="22">
        <f t="shared" si="160"/>
        <v>0</v>
      </c>
      <c r="X292" s="22">
        <f t="shared" si="160"/>
        <v>0</v>
      </c>
      <c r="Y292" s="22">
        <f t="shared" si="160"/>
        <v>0</v>
      </c>
      <c r="Z292" s="22">
        <f t="shared" si="160"/>
        <v>0</v>
      </c>
      <c r="AA292" s="22">
        <f t="shared" si="160"/>
        <v>0</v>
      </c>
      <c r="AB292" s="1"/>
      <c r="AC292" s="5">
        <f t="shared" si="144"/>
        <v>60</v>
      </c>
      <c r="AD292" s="5">
        <f t="shared" si="145"/>
        <v>54</v>
      </c>
      <c r="AE292" s="5">
        <f t="shared" si="146"/>
        <v>0</v>
      </c>
      <c r="AF292" s="5">
        <f t="shared" si="147"/>
        <v>0</v>
      </c>
      <c r="AG292" s="5">
        <f t="shared" si="148"/>
        <v>0</v>
      </c>
      <c r="AH292" s="5">
        <f t="shared" si="149"/>
        <v>0</v>
      </c>
      <c r="AI292" s="5">
        <f t="shared" si="150"/>
        <v>0</v>
      </c>
      <c r="AJ292" s="5">
        <f t="shared" si="151"/>
        <v>0</v>
      </c>
      <c r="AK292" s="5">
        <f t="shared" si="152"/>
        <v>0</v>
      </c>
      <c r="AL292" s="5">
        <f t="shared" si="153"/>
        <v>0</v>
      </c>
      <c r="AM292" s="5">
        <f t="shared" si="154"/>
        <v>0</v>
      </c>
      <c r="AN292" s="5">
        <f t="shared" si="155"/>
        <v>0</v>
      </c>
      <c r="AO292" s="5">
        <f t="shared" si="156"/>
        <v>0</v>
      </c>
      <c r="AP292" s="5">
        <f t="shared" si="157"/>
        <v>0</v>
      </c>
      <c r="AQ292" s="5">
        <f t="shared" si="158"/>
        <v>0</v>
      </c>
      <c r="AR292" s="5">
        <f t="shared" si="159"/>
        <v>0</v>
      </c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M292" s="40">
        <f>IF(OR(V291=4,V291=8,V291=12,V291=16,V291=20),$CA$1,0)</f>
        <v>0</v>
      </c>
      <c r="BN292" s="40">
        <f>IF(OR(W291=4,W291=8,W291=12,W291=16,W291=20),$CA$1,0)</f>
        <v>0</v>
      </c>
      <c r="BO292" s="40">
        <f>IF(OR(X291=4,X291=8,X291=12,X291=16,X291=20),$CA$1,0)</f>
        <v>0</v>
      </c>
      <c r="BP292" s="40">
        <f>IF(OR(Y291=4,Y291=8,Y291=12,Y291=16,Y291=20),$CA$1,0)</f>
        <v>0</v>
      </c>
      <c r="BQ292" s="40">
        <f>IF(OR(Z291=4,Z291=8,Z291=12,Z291=16,Z291=20),$CA$1,0)</f>
        <v>0</v>
      </c>
      <c r="BR292" s="40">
        <f>IF(OR(AA291=4,AA291=8,AA291=12,AA291=16,AA291=20),$CA$1,0)</f>
        <v>0</v>
      </c>
      <c r="BS292" s="40">
        <f>IF(V288=20,$CB$1,0)</f>
        <v>0</v>
      </c>
      <c r="BT292" s="40">
        <f>IF(W288=20,$CB$1,0)</f>
        <v>0</v>
      </c>
      <c r="BU292" s="40">
        <f>IF(X288=20,$CB$1,0)</f>
        <v>0</v>
      </c>
      <c r="BV292" s="40">
        <f>IF(Y288=20,$CB$1,0)</f>
        <v>0</v>
      </c>
      <c r="BW292" s="40">
        <f>IF(Z288=20,$CB$1,0)</f>
        <v>0</v>
      </c>
      <c r="BX292" s="40">
        <f>IF(AA288=20,$CB$1,0)</f>
        <v>0</v>
      </c>
      <c r="BY292" s="41">
        <f t="shared" si="139"/>
        <v>0</v>
      </c>
      <c r="BZ292" s="41">
        <f t="shared" si="140"/>
        <v>0</v>
      </c>
      <c r="CA292" s="58">
        <f t="shared" si="130"/>
        <v>45117</v>
      </c>
      <c r="CB292" s="47">
        <f t="shared" si="141"/>
        <v>0</v>
      </c>
    </row>
    <row r="293" spans="2:80" ht="15" hidden="1" outlineLevel="1" x14ac:dyDescent="0.2">
      <c r="B293" s="18">
        <f t="shared" si="134"/>
        <v>45124</v>
      </c>
      <c r="C293" s="17" t="s">
        <v>1</v>
      </c>
      <c r="D293" s="19">
        <f t="shared" si="135"/>
        <v>45130</v>
      </c>
      <c r="E293" s="20">
        <f t="shared" si="136"/>
        <v>7</v>
      </c>
      <c r="F293" s="21">
        <f t="shared" si="137"/>
        <v>2023</v>
      </c>
      <c r="G293" s="11">
        <f t="shared" si="143"/>
        <v>22</v>
      </c>
      <c r="H293" s="10">
        <f t="shared" si="143"/>
        <v>66</v>
      </c>
      <c r="I293" s="11"/>
      <c r="J293" s="11"/>
      <c r="K293" s="11"/>
      <c r="L293" s="11"/>
      <c r="M293" s="11"/>
      <c r="N293" s="11"/>
      <c r="O293" s="14"/>
      <c r="P293" s="14"/>
      <c r="Q293" s="14"/>
      <c r="R293" s="14"/>
      <c r="S293" s="14"/>
      <c r="T293" s="14"/>
      <c r="V293" s="22">
        <f t="shared" si="160"/>
        <v>0</v>
      </c>
      <c r="W293" s="22">
        <f t="shared" si="160"/>
        <v>0</v>
      </c>
      <c r="X293" s="22">
        <f t="shared" si="160"/>
        <v>0</v>
      </c>
      <c r="Y293" s="22">
        <f t="shared" si="160"/>
        <v>0</v>
      </c>
      <c r="Z293" s="22">
        <f t="shared" si="160"/>
        <v>0</v>
      </c>
      <c r="AA293" s="22">
        <f t="shared" si="160"/>
        <v>0</v>
      </c>
      <c r="AB293" s="1"/>
      <c r="AC293" s="5">
        <f t="shared" si="144"/>
        <v>61</v>
      </c>
      <c r="AD293" s="5">
        <f t="shared" si="145"/>
        <v>55</v>
      </c>
      <c r="AE293" s="5">
        <f t="shared" si="146"/>
        <v>0</v>
      </c>
      <c r="AF293" s="5">
        <f t="shared" si="147"/>
        <v>0</v>
      </c>
      <c r="AG293" s="5">
        <f t="shared" si="148"/>
        <v>0</v>
      </c>
      <c r="AH293" s="5">
        <f t="shared" si="149"/>
        <v>0</v>
      </c>
      <c r="AI293" s="5">
        <f t="shared" si="150"/>
        <v>0</v>
      </c>
      <c r="AJ293" s="5">
        <f t="shared" si="151"/>
        <v>0</v>
      </c>
      <c r="AK293" s="5">
        <f t="shared" si="152"/>
        <v>0</v>
      </c>
      <c r="AL293" s="5">
        <f t="shared" si="153"/>
        <v>0</v>
      </c>
      <c r="AM293" s="5">
        <f t="shared" si="154"/>
        <v>0</v>
      </c>
      <c r="AN293" s="5">
        <f t="shared" si="155"/>
        <v>0</v>
      </c>
      <c r="AO293" s="5">
        <f t="shared" si="156"/>
        <v>0</v>
      </c>
      <c r="AP293" s="5">
        <f t="shared" si="157"/>
        <v>0</v>
      </c>
      <c r="AQ293" s="5">
        <f t="shared" si="158"/>
        <v>0</v>
      </c>
      <c r="AR293" s="5">
        <f t="shared" si="159"/>
        <v>0</v>
      </c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M293" s="40">
        <f>IF(OR(V292=4,V292=8,V292=12,V292=16,V292=20),$CA$1,0)</f>
        <v>0</v>
      </c>
      <c r="BN293" s="40">
        <f>IF(OR(W292=4,W292=8,W292=12,W292=16,W292=20),$CA$1,0)</f>
        <v>0</v>
      </c>
      <c r="BO293" s="40">
        <f>IF(OR(X292=4,X292=8,X292=12,X292=16,X292=20),$CA$1,0)</f>
        <v>0</v>
      </c>
      <c r="BP293" s="40">
        <f>IF(OR(Y292=4,Y292=8,Y292=12,Y292=16,Y292=20),$CA$1,0)</f>
        <v>0</v>
      </c>
      <c r="BQ293" s="40">
        <f>IF(OR(Z292=4,Z292=8,Z292=12,Z292=16,Z292=20),$CA$1,0)</f>
        <v>0</v>
      </c>
      <c r="BR293" s="40">
        <f>IF(OR(AA292=4,AA292=8,AA292=12,AA292=16,AA292=20),$CA$1,0)</f>
        <v>0</v>
      </c>
      <c r="BS293" s="40">
        <f>IF(V289=20,$CB$1,0)</f>
        <v>0</v>
      </c>
      <c r="BT293" s="40">
        <f>IF(W289=20,$CB$1,0)</f>
        <v>0</v>
      </c>
      <c r="BU293" s="40">
        <f>IF(X289=20,$CB$1,0)</f>
        <v>0</v>
      </c>
      <c r="BV293" s="40">
        <f>IF(Y289=20,$CB$1,0)</f>
        <v>0</v>
      </c>
      <c r="BW293" s="40">
        <f>IF(Z289=20,$CB$1,0)</f>
        <v>0</v>
      </c>
      <c r="BX293" s="40">
        <f>IF(AA289=20,$CB$1,0)</f>
        <v>0</v>
      </c>
      <c r="BY293" s="41">
        <f t="shared" si="139"/>
        <v>0</v>
      </c>
      <c r="BZ293" s="41">
        <f t="shared" si="140"/>
        <v>0</v>
      </c>
      <c r="CA293" s="58">
        <f t="shared" si="130"/>
        <v>45124</v>
      </c>
      <c r="CB293" s="47">
        <f t="shared" si="141"/>
        <v>0</v>
      </c>
    </row>
    <row r="294" spans="2:80" ht="15" hidden="1" outlineLevel="1" x14ac:dyDescent="0.2">
      <c r="B294" s="18">
        <f t="shared" si="134"/>
        <v>45131</v>
      </c>
      <c r="C294" s="17" t="s">
        <v>1</v>
      </c>
      <c r="D294" s="19">
        <f t="shared" si="135"/>
        <v>45137</v>
      </c>
      <c r="E294" s="20">
        <f t="shared" si="136"/>
        <v>7</v>
      </c>
      <c r="F294" s="21">
        <f t="shared" si="137"/>
        <v>2023</v>
      </c>
      <c r="G294" s="11">
        <f t="shared" ref="G294:H309" si="161">G293</f>
        <v>22</v>
      </c>
      <c r="H294" s="10">
        <f t="shared" si="161"/>
        <v>66</v>
      </c>
      <c r="I294" s="11"/>
      <c r="J294" s="11"/>
      <c r="K294" s="11"/>
      <c r="L294" s="11"/>
      <c r="M294" s="11"/>
      <c r="N294" s="11"/>
      <c r="O294" s="14"/>
      <c r="P294" s="14"/>
      <c r="Q294" s="14"/>
      <c r="R294" s="14"/>
      <c r="S294" s="14"/>
      <c r="T294" s="14"/>
      <c r="V294" s="22">
        <f t="shared" si="160"/>
        <v>0</v>
      </c>
      <c r="W294" s="22">
        <f t="shared" si="160"/>
        <v>0</v>
      </c>
      <c r="X294" s="22">
        <f t="shared" si="160"/>
        <v>0</v>
      </c>
      <c r="Y294" s="22">
        <f t="shared" si="160"/>
        <v>0</v>
      </c>
      <c r="Z294" s="22">
        <f t="shared" si="160"/>
        <v>0</v>
      </c>
      <c r="AA294" s="22">
        <f t="shared" si="160"/>
        <v>0</v>
      </c>
      <c r="AB294" s="1"/>
      <c r="AC294" s="5">
        <f t="shared" si="144"/>
        <v>62</v>
      </c>
      <c r="AD294" s="5">
        <f t="shared" si="145"/>
        <v>56</v>
      </c>
      <c r="AE294" s="5">
        <f t="shared" si="146"/>
        <v>0</v>
      </c>
      <c r="AF294" s="5">
        <f t="shared" si="147"/>
        <v>0</v>
      </c>
      <c r="AG294" s="5">
        <f t="shared" si="148"/>
        <v>0</v>
      </c>
      <c r="AH294" s="5">
        <f t="shared" si="149"/>
        <v>0</v>
      </c>
      <c r="AI294" s="5">
        <f t="shared" si="150"/>
        <v>0</v>
      </c>
      <c r="AJ294" s="5">
        <f t="shared" si="151"/>
        <v>0</v>
      </c>
      <c r="AK294" s="5">
        <f t="shared" si="152"/>
        <v>0</v>
      </c>
      <c r="AL294" s="5">
        <f t="shared" si="153"/>
        <v>0</v>
      </c>
      <c r="AM294" s="5">
        <f t="shared" si="154"/>
        <v>0</v>
      </c>
      <c r="AN294" s="5">
        <f t="shared" si="155"/>
        <v>0</v>
      </c>
      <c r="AO294" s="5">
        <f t="shared" si="156"/>
        <v>0</v>
      </c>
      <c r="AP294" s="5">
        <f t="shared" si="157"/>
        <v>0</v>
      </c>
      <c r="AQ294" s="5">
        <f t="shared" si="158"/>
        <v>0</v>
      </c>
      <c r="AR294" s="5">
        <f t="shared" si="159"/>
        <v>0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M294" s="40">
        <f>IF(OR(V293=4,V293=8,V293=12,V293=16,V293=20),$CA$1,0)</f>
        <v>0</v>
      </c>
      <c r="BN294" s="40">
        <f>IF(OR(W293=4,W293=8,W293=12,W293=16,W293=20),$CA$1,0)</f>
        <v>0</v>
      </c>
      <c r="BO294" s="40">
        <f>IF(OR(X293=4,X293=8,X293=12,X293=16,X293=20),$CA$1,0)</f>
        <v>0</v>
      </c>
      <c r="BP294" s="40">
        <f>IF(OR(Y293=4,Y293=8,Y293=12,Y293=16,Y293=20),$CA$1,0)</f>
        <v>0</v>
      </c>
      <c r="BQ294" s="40">
        <f>IF(OR(Z293=4,Z293=8,Z293=12,Z293=16,Z293=20),$CA$1,0)</f>
        <v>0</v>
      </c>
      <c r="BR294" s="40">
        <f>IF(OR(AA293=4,AA293=8,AA293=12,AA293=16,AA293=20),$CA$1,0)</f>
        <v>0</v>
      </c>
      <c r="BS294" s="40">
        <f>IF(V290=20,$CB$1,0)</f>
        <v>0</v>
      </c>
      <c r="BT294" s="40">
        <f>IF(W290=20,$CB$1,0)</f>
        <v>0</v>
      </c>
      <c r="BU294" s="40">
        <f>IF(X290=20,$CB$1,0)</f>
        <v>0</v>
      </c>
      <c r="BV294" s="40">
        <f>IF(Y290=20,$CB$1,0)</f>
        <v>0</v>
      </c>
      <c r="BW294" s="40">
        <f>IF(Z290=20,$CB$1,0)</f>
        <v>0</v>
      </c>
      <c r="BX294" s="40">
        <f>IF(AA290=20,$CB$1,0)</f>
        <v>0</v>
      </c>
      <c r="BY294" s="41">
        <f t="shared" si="139"/>
        <v>0</v>
      </c>
      <c r="BZ294" s="41">
        <f t="shared" si="140"/>
        <v>0</v>
      </c>
      <c r="CA294" s="58">
        <f t="shared" si="130"/>
        <v>45131</v>
      </c>
      <c r="CB294" s="47">
        <f t="shared" si="141"/>
        <v>0</v>
      </c>
    </row>
    <row r="295" spans="2:80" ht="15" hidden="1" outlineLevel="1" x14ac:dyDescent="0.2">
      <c r="B295" s="18">
        <f t="shared" si="134"/>
        <v>45138</v>
      </c>
      <c r="C295" s="17" t="s">
        <v>1</v>
      </c>
      <c r="D295" s="19">
        <f t="shared" si="135"/>
        <v>45144</v>
      </c>
      <c r="E295" s="20">
        <f t="shared" si="136"/>
        <v>7</v>
      </c>
      <c r="F295" s="21">
        <f t="shared" si="137"/>
        <v>2023</v>
      </c>
      <c r="G295" s="11">
        <f t="shared" si="161"/>
        <v>22</v>
      </c>
      <c r="H295" s="10">
        <f t="shared" si="161"/>
        <v>66</v>
      </c>
      <c r="I295" s="11"/>
      <c r="J295" s="11"/>
      <c r="K295" s="11"/>
      <c r="L295" s="11"/>
      <c r="M295" s="11"/>
      <c r="N295" s="11"/>
      <c r="O295" s="14"/>
      <c r="P295" s="14"/>
      <c r="Q295" s="14"/>
      <c r="R295" s="14"/>
      <c r="S295" s="14"/>
      <c r="T295" s="14"/>
      <c r="V295" s="22">
        <f t="shared" si="160"/>
        <v>0</v>
      </c>
      <c r="W295" s="22">
        <f t="shared" si="160"/>
        <v>0</v>
      </c>
      <c r="X295" s="22">
        <f t="shared" si="160"/>
        <v>0</v>
      </c>
      <c r="Y295" s="22">
        <f t="shared" si="160"/>
        <v>0</v>
      </c>
      <c r="Z295" s="22">
        <f t="shared" si="160"/>
        <v>0</v>
      </c>
      <c r="AA295" s="22">
        <f t="shared" si="160"/>
        <v>0</v>
      </c>
      <c r="AB295" s="1"/>
      <c r="AC295" s="5">
        <f t="shared" si="144"/>
        <v>63</v>
      </c>
      <c r="AD295" s="5">
        <f t="shared" si="145"/>
        <v>57</v>
      </c>
      <c r="AE295" s="5">
        <f t="shared" si="146"/>
        <v>0</v>
      </c>
      <c r="AF295" s="5">
        <f t="shared" si="147"/>
        <v>0</v>
      </c>
      <c r="AG295" s="5">
        <f t="shared" si="148"/>
        <v>0</v>
      </c>
      <c r="AH295" s="5">
        <f t="shared" si="149"/>
        <v>0</v>
      </c>
      <c r="AI295" s="5">
        <f t="shared" si="150"/>
        <v>0</v>
      </c>
      <c r="AJ295" s="5">
        <f t="shared" si="151"/>
        <v>0</v>
      </c>
      <c r="AK295" s="5">
        <f t="shared" si="152"/>
        <v>0</v>
      </c>
      <c r="AL295" s="5">
        <f t="shared" si="153"/>
        <v>0</v>
      </c>
      <c r="AM295" s="5">
        <f t="shared" si="154"/>
        <v>0</v>
      </c>
      <c r="AN295" s="5">
        <f t="shared" si="155"/>
        <v>0</v>
      </c>
      <c r="AO295" s="5">
        <f t="shared" si="156"/>
        <v>0</v>
      </c>
      <c r="AP295" s="5">
        <f t="shared" si="157"/>
        <v>0</v>
      </c>
      <c r="AQ295" s="5">
        <f t="shared" si="158"/>
        <v>0</v>
      </c>
      <c r="AR295" s="5">
        <f t="shared" si="159"/>
        <v>0</v>
      </c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M295" s="40">
        <f>IF(OR(V294=4,V294=8,V294=12,V294=16,V294=20),$CA$1,0)</f>
        <v>0</v>
      </c>
      <c r="BN295" s="40">
        <f>IF(OR(W294=4,W294=8,W294=12,W294=16,W294=20),$CA$1,0)</f>
        <v>0</v>
      </c>
      <c r="BO295" s="40">
        <f>IF(OR(X294=4,X294=8,X294=12,X294=16,X294=20),$CA$1,0)</f>
        <v>0</v>
      </c>
      <c r="BP295" s="40">
        <f>IF(OR(Y294=4,Y294=8,Y294=12,Y294=16,Y294=20),$CA$1,0)</f>
        <v>0</v>
      </c>
      <c r="BQ295" s="40">
        <f>IF(OR(Z294=4,Z294=8,Z294=12,Z294=16,Z294=20),$CA$1,0)</f>
        <v>0</v>
      </c>
      <c r="BR295" s="40">
        <f>IF(OR(AA294=4,AA294=8,AA294=12,AA294=16,AA294=20),$CA$1,0)</f>
        <v>0</v>
      </c>
      <c r="BS295" s="40">
        <f>IF(V291=20,$CB$1,0)</f>
        <v>0</v>
      </c>
      <c r="BT295" s="40">
        <f>IF(W291=20,$CB$1,0)</f>
        <v>0</v>
      </c>
      <c r="BU295" s="40">
        <f>IF(X291=20,$CB$1,0)</f>
        <v>0</v>
      </c>
      <c r="BV295" s="40">
        <f>IF(Y291=20,$CB$1,0)</f>
        <v>0</v>
      </c>
      <c r="BW295" s="40">
        <f>IF(Z291=20,$CB$1,0)</f>
        <v>0</v>
      </c>
      <c r="BX295" s="40">
        <f>IF(AA291=20,$CB$1,0)</f>
        <v>0</v>
      </c>
      <c r="BY295" s="41">
        <f t="shared" si="139"/>
        <v>0</v>
      </c>
      <c r="BZ295" s="41">
        <f t="shared" si="140"/>
        <v>0</v>
      </c>
      <c r="CA295" s="58">
        <f t="shared" si="130"/>
        <v>45138</v>
      </c>
      <c r="CB295" s="47">
        <f t="shared" si="141"/>
        <v>0</v>
      </c>
    </row>
    <row r="296" spans="2:80" ht="15" hidden="1" outlineLevel="1" x14ac:dyDescent="0.2">
      <c r="B296" s="18">
        <f t="shared" si="134"/>
        <v>45145</v>
      </c>
      <c r="C296" s="17" t="s">
        <v>1</v>
      </c>
      <c r="D296" s="19">
        <f t="shared" si="135"/>
        <v>45151</v>
      </c>
      <c r="E296" s="20">
        <f t="shared" si="136"/>
        <v>8</v>
      </c>
      <c r="F296" s="21">
        <f t="shared" si="137"/>
        <v>2023</v>
      </c>
      <c r="G296" s="11">
        <f t="shared" si="161"/>
        <v>22</v>
      </c>
      <c r="H296" s="10">
        <f t="shared" si="161"/>
        <v>66</v>
      </c>
      <c r="I296" s="11"/>
      <c r="J296" s="11"/>
      <c r="K296" s="11"/>
      <c r="L296" s="11"/>
      <c r="M296" s="11"/>
      <c r="N296" s="11"/>
      <c r="O296" s="14"/>
      <c r="P296" s="14"/>
      <c r="Q296" s="14"/>
      <c r="R296" s="14"/>
      <c r="S296" s="14"/>
      <c r="T296" s="14"/>
      <c r="V296" s="22">
        <f>IF(I296&gt;0,I296,IF(O296=1,$B296+2,IF(O295=1,1,IF(O295=2,0,IF(V295=$G295,0,(IF(V295&gt;=1,V295+1,0)))))))</f>
        <v>0</v>
      </c>
      <c r="W296" s="22">
        <f t="shared" si="160"/>
        <v>0</v>
      </c>
      <c r="X296" s="22">
        <f t="shared" si="160"/>
        <v>0</v>
      </c>
      <c r="Y296" s="22">
        <f t="shared" si="160"/>
        <v>0</v>
      </c>
      <c r="Z296" s="22">
        <f t="shared" si="160"/>
        <v>0</v>
      </c>
      <c r="AA296" s="22">
        <f t="shared" si="160"/>
        <v>0</v>
      </c>
      <c r="AB296" s="1"/>
      <c r="AC296" s="5">
        <f t="shared" si="144"/>
        <v>64</v>
      </c>
      <c r="AD296" s="5">
        <f t="shared" si="145"/>
        <v>58</v>
      </c>
      <c r="AE296" s="5">
        <f t="shared" si="146"/>
        <v>0</v>
      </c>
      <c r="AF296" s="5">
        <f t="shared" si="147"/>
        <v>0</v>
      </c>
      <c r="AG296" s="5">
        <f t="shared" si="148"/>
        <v>0</v>
      </c>
      <c r="AH296" s="5">
        <f t="shared" si="149"/>
        <v>0</v>
      </c>
      <c r="AI296" s="5">
        <f t="shared" si="150"/>
        <v>0</v>
      </c>
      <c r="AJ296" s="5">
        <f t="shared" si="151"/>
        <v>0</v>
      </c>
      <c r="AK296" s="5">
        <f t="shared" si="152"/>
        <v>0</v>
      </c>
      <c r="AL296" s="5">
        <f t="shared" si="153"/>
        <v>0</v>
      </c>
      <c r="AM296" s="5">
        <f t="shared" si="154"/>
        <v>0</v>
      </c>
      <c r="AN296" s="5">
        <f t="shared" si="155"/>
        <v>0</v>
      </c>
      <c r="AO296" s="5">
        <f t="shared" si="156"/>
        <v>0</v>
      </c>
      <c r="AP296" s="5">
        <f t="shared" si="157"/>
        <v>0</v>
      </c>
      <c r="AQ296" s="5">
        <f t="shared" si="158"/>
        <v>0</v>
      </c>
      <c r="AR296" s="5">
        <f t="shared" si="159"/>
        <v>0</v>
      </c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M296" s="40">
        <f>IF(OR(V295=4,V295=8,V295=12,V295=16,V295=20),$CA$1,0)</f>
        <v>0</v>
      </c>
      <c r="BN296" s="40">
        <f>IF(OR(W295=4,W295=8,W295=12,W295=16,W295=20),$CA$1,0)</f>
        <v>0</v>
      </c>
      <c r="BO296" s="40">
        <f>IF(OR(X295=4,X295=8,X295=12,X295=16,X295=20),$CA$1,0)</f>
        <v>0</v>
      </c>
      <c r="BP296" s="40">
        <f>IF(OR(Y295=4,Y295=8,Y295=12,Y295=16,Y295=20),$CA$1,0)</f>
        <v>0</v>
      </c>
      <c r="BQ296" s="40">
        <f>IF(OR(Z295=4,Z295=8,Z295=12,Z295=16,Z295=20),$CA$1,0)</f>
        <v>0</v>
      </c>
      <c r="BR296" s="40">
        <f>IF(OR(AA295=4,AA295=8,AA295=12,AA295=16,AA295=20),$CA$1,0)</f>
        <v>0</v>
      </c>
      <c r="BS296" s="40">
        <f>IF(V292=20,$CB$1,0)</f>
        <v>0</v>
      </c>
      <c r="BT296" s="40">
        <f>IF(W292=20,$CB$1,0)</f>
        <v>0</v>
      </c>
      <c r="BU296" s="40">
        <f>IF(X292=20,$CB$1,0)</f>
        <v>0</v>
      </c>
      <c r="BV296" s="40">
        <f>IF(Y292=20,$CB$1,0)</f>
        <v>0</v>
      </c>
      <c r="BW296" s="40">
        <f>IF(Z292=20,$CB$1,0)</f>
        <v>0</v>
      </c>
      <c r="BX296" s="40">
        <f>IF(AA292=20,$CB$1,0)</f>
        <v>0</v>
      </c>
      <c r="BY296" s="41">
        <f t="shared" si="139"/>
        <v>0</v>
      </c>
      <c r="BZ296" s="41">
        <f t="shared" si="140"/>
        <v>0</v>
      </c>
      <c r="CA296" s="58">
        <f t="shared" si="130"/>
        <v>45145</v>
      </c>
      <c r="CB296" s="47">
        <f t="shared" si="141"/>
        <v>0</v>
      </c>
    </row>
    <row r="297" spans="2:80" ht="15" hidden="1" outlineLevel="1" x14ac:dyDescent="0.2">
      <c r="B297" s="18">
        <f t="shared" si="134"/>
        <v>45152</v>
      </c>
      <c r="C297" s="17" t="s">
        <v>1</v>
      </c>
      <c r="D297" s="19">
        <f t="shared" si="135"/>
        <v>45158</v>
      </c>
      <c r="E297" s="20">
        <f t="shared" si="136"/>
        <v>8</v>
      </c>
      <c r="F297" s="21">
        <f t="shared" si="137"/>
        <v>2023</v>
      </c>
      <c r="G297" s="11">
        <f t="shared" si="161"/>
        <v>22</v>
      </c>
      <c r="H297" s="10">
        <f t="shared" si="161"/>
        <v>66</v>
      </c>
      <c r="I297" s="11"/>
      <c r="J297" s="11"/>
      <c r="K297" s="11"/>
      <c r="L297" s="11"/>
      <c r="M297" s="11"/>
      <c r="N297" s="11"/>
      <c r="O297" s="14"/>
      <c r="P297" s="14"/>
      <c r="Q297" s="14"/>
      <c r="R297" s="14"/>
      <c r="S297" s="14"/>
      <c r="T297" s="14"/>
      <c r="V297" s="22">
        <f t="shared" si="160"/>
        <v>0</v>
      </c>
      <c r="W297" s="22">
        <f t="shared" si="160"/>
        <v>0</v>
      </c>
      <c r="X297" s="22">
        <f t="shared" si="160"/>
        <v>0</v>
      </c>
      <c r="Y297" s="22">
        <f t="shared" si="160"/>
        <v>0</v>
      </c>
      <c r="Z297" s="22">
        <f t="shared" si="160"/>
        <v>0</v>
      </c>
      <c r="AA297" s="22">
        <f t="shared" si="160"/>
        <v>0</v>
      </c>
      <c r="AB297" s="1"/>
      <c r="AC297" s="5">
        <f t="shared" si="144"/>
        <v>65</v>
      </c>
      <c r="AD297" s="5">
        <f t="shared" si="145"/>
        <v>59</v>
      </c>
      <c r="AE297" s="5">
        <f t="shared" si="146"/>
        <v>0</v>
      </c>
      <c r="AF297" s="5">
        <f t="shared" si="147"/>
        <v>0</v>
      </c>
      <c r="AG297" s="5">
        <f t="shared" si="148"/>
        <v>0</v>
      </c>
      <c r="AH297" s="5">
        <f t="shared" si="149"/>
        <v>0</v>
      </c>
      <c r="AI297" s="5">
        <f t="shared" si="150"/>
        <v>0</v>
      </c>
      <c r="AJ297" s="5">
        <f t="shared" si="151"/>
        <v>0</v>
      </c>
      <c r="AK297" s="5">
        <f t="shared" si="152"/>
        <v>0</v>
      </c>
      <c r="AL297" s="5">
        <f t="shared" si="153"/>
        <v>0</v>
      </c>
      <c r="AM297" s="5">
        <f t="shared" si="154"/>
        <v>0</v>
      </c>
      <c r="AN297" s="5">
        <f t="shared" si="155"/>
        <v>0</v>
      </c>
      <c r="AO297" s="5">
        <f t="shared" si="156"/>
        <v>0</v>
      </c>
      <c r="AP297" s="5">
        <f t="shared" si="157"/>
        <v>0</v>
      </c>
      <c r="AQ297" s="5">
        <f t="shared" si="158"/>
        <v>0</v>
      </c>
      <c r="AR297" s="5">
        <f t="shared" si="159"/>
        <v>0</v>
      </c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M297" s="40">
        <f>IF(OR(V296=4,V296=8,V296=12,V296=16,V296=20),$CA$1,0)</f>
        <v>0</v>
      </c>
      <c r="BN297" s="40">
        <f>IF(OR(W296=4,W296=8,W296=12,W296=16,W296=20),$CA$1,0)</f>
        <v>0</v>
      </c>
      <c r="BO297" s="40">
        <f>IF(OR(X296=4,X296=8,X296=12,X296=16,X296=20),$CA$1,0)</f>
        <v>0</v>
      </c>
      <c r="BP297" s="40">
        <f>IF(OR(Y296=4,Y296=8,Y296=12,Y296=16,Y296=20),$CA$1,0)</f>
        <v>0</v>
      </c>
      <c r="BQ297" s="40">
        <f>IF(OR(Z296=4,Z296=8,Z296=12,Z296=16,Z296=20),$CA$1,0)</f>
        <v>0</v>
      </c>
      <c r="BR297" s="40">
        <f>IF(OR(AA296=4,AA296=8,AA296=12,AA296=16,AA296=20),$CA$1,0)</f>
        <v>0</v>
      </c>
      <c r="BS297" s="40">
        <f>IF(V293=20,$CB$1,0)</f>
        <v>0</v>
      </c>
      <c r="BT297" s="40">
        <f>IF(W293=20,$CB$1,0)</f>
        <v>0</v>
      </c>
      <c r="BU297" s="40">
        <f>IF(X293=20,$CB$1,0)</f>
        <v>0</v>
      </c>
      <c r="BV297" s="40">
        <f>IF(Y293=20,$CB$1,0)</f>
        <v>0</v>
      </c>
      <c r="BW297" s="40">
        <f>IF(Z293=20,$CB$1,0)</f>
        <v>0</v>
      </c>
      <c r="BX297" s="40">
        <f>IF(AA293=20,$CB$1,0)</f>
        <v>0</v>
      </c>
      <c r="BY297" s="41">
        <f t="shared" si="139"/>
        <v>0</v>
      </c>
      <c r="BZ297" s="41">
        <f t="shared" si="140"/>
        <v>0</v>
      </c>
      <c r="CA297" s="58">
        <f t="shared" si="130"/>
        <v>45152</v>
      </c>
      <c r="CB297" s="47">
        <f t="shared" si="141"/>
        <v>0</v>
      </c>
    </row>
    <row r="298" spans="2:80" ht="15" hidden="1" outlineLevel="1" x14ac:dyDescent="0.2">
      <c r="B298" s="18">
        <f t="shared" si="134"/>
        <v>45159</v>
      </c>
      <c r="C298" s="17" t="s">
        <v>1</v>
      </c>
      <c r="D298" s="19">
        <f t="shared" si="135"/>
        <v>45165</v>
      </c>
      <c r="E298" s="20">
        <f t="shared" si="136"/>
        <v>8</v>
      </c>
      <c r="F298" s="21">
        <f t="shared" si="137"/>
        <v>2023</v>
      </c>
      <c r="G298" s="11">
        <f t="shared" si="161"/>
        <v>22</v>
      </c>
      <c r="H298" s="10">
        <f t="shared" si="161"/>
        <v>66</v>
      </c>
      <c r="I298" s="11"/>
      <c r="J298" s="11"/>
      <c r="K298" s="11"/>
      <c r="L298" s="11"/>
      <c r="M298" s="11"/>
      <c r="N298" s="11"/>
      <c r="O298" s="14"/>
      <c r="P298" s="14"/>
      <c r="Q298" s="14"/>
      <c r="R298" s="14"/>
      <c r="S298" s="14"/>
      <c r="T298" s="14"/>
      <c r="V298" s="22">
        <f t="shared" si="160"/>
        <v>0</v>
      </c>
      <c r="W298" s="22">
        <f t="shared" si="160"/>
        <v>0</v>
      </c>
      <c r="X298" s="22">
        <f t="shared" si="160"/>
        <v>0</v>
      </c>
      <c r="Y298" s="22">
        <f t="shared" si="160"/>
        <v>0</v>
      </c>
      <c r="Z298" s="22">
        <f t="shared" si="160"/>
        <v>0</v>
      </c>
      <c r="AA298" s="22">
        <f t="shared" si="160"/>
        <v>0</v>
      </c>
      <c r="AB298" s="1"/>
      <c r="AC298" s="5">
        <f t="shared" si="144"/>
        <v>66</v>
      </c>
      <c r="AD298" s="5">
        <f t="shared" si="145"/>
        <v>60</v>
      </c>
      <c r="AE298" s="5">
        <f t="shared" si="146"/>
        <v>0</v>
      </c>
      <c r="AF298" s="5">
        <f t="shared" si="147"/>
        <v>0</v>
      </c>
      <c r="AG298" s="5">
        <f t="shared" si="148"/>
        <v>0</v>
      </c>
      <c r="AH298" s="5">
        <f t="shared" si="149"/>
        <v>0</v>
      </c>
      <c r="AI298" s="5">
        <f t="shared" si="150"/>
        <v>0</v>
      </c>
      <c r="AJ298" s="5">
        <f t="shared" si="151"/>
        <v>0</v>
      </c>
      <c r="AK298" s="5">
        <f t="shared" si="152"/>
        <v>0</v>
      </c>
      <c r="AL298" s="5">
        <f t="shared" si="153"/>
        <v>0</v>
      </c>
      <c r="AM298" s="5">
        <f t="shared" si="154"/>
        <v>0</v>
      </c>
      <c r="AN298" s="5">
        <f t="shared" si="155"/>
        <v>0</v>
      </c>
      <c r="AO298" s="5">
        <f t="shared" si="156"/>
        <v>0</v>
      </c>
      <c r="AP298" s="5">
        <f t="shared" si="157"/>
        <v>0</v>
      </c>
      <c r="AQ298" s="5">
        <f t="shared" si="158"/>
        <v>0</v>
      </c>
      <c r="AR298" s="5">
        <f t="shared" si="159"/>
        <v>0</v>
      </c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M298" s="40">
        <f>IF(OR(V297=4,V297=8,V297=12,V297=16,V297=20),$CA$1,0)</f>
        <v>0</v>
      </c>
      <c r="BN298" s="40">
        <f>IF(OR(W297=4,W297=8,W297=12,W297=16,W297=20),$CA$1,0)</f>
        <v>0</v>
      </c>
      <c r="BO298" s="40">
        <f>IF(OR(X297=4,X297=8,X297=12,X297=16,X297=20),$CA$1,0)</f>
        <v>0</v>
      </c>
      <c r="BP298" s="40">
        <f>IF(OR(Y297=4,Y297=8,Y297=12,Y297=16,Y297=20),$CA$1,0)</f>
        <v>0</v>
      </c>
      <c r="BQ298" s="40">
        <f>IF(OR(Z297=4,Z297=8,Z297=12,Z297=16,Z297=20),$CA$1,0)</f>
        <v>0</v>
      </c>
      <c r="BR298" s="40">
        <f>IF(OR(AA297=4,AA297=8,AA297=12,AA297=16,AA297=20),$CA$1,0)</f>
        <v>0</v>
      </c>
      <c r="BS298" s="40">
        <f>IF(V294=20,$CB$1,0)</f>
        <v>0</v>
      </c>
      <c r="BT298" s="40">
        <f>IF(W294=20,$CB$1,0)</f>
        <v>0</v>
      </c>
      <c r="BU298" s="40">
        <f>IF(X294=20,$CB$1,0)</f>
        <v>0</v>
      </c>
      <c r="BV298" s="40">
        <f>IF(Y294=20,$CB$1,0)</f>
        <v>0</v>
      </c>
      <c r="BW298" s="40">
        <f>IF(Z294=20,$CB$1,0)</f>
        <v>0</v>
      </c>
      <c r="BX298" s="40">
        <f>IF(AA294=20,$CB$1,0)</f>
        <v>0</v>
      </c>
      <c r="BY298" s="41">
        <f t="shared" si="139"/>
        <v>0</v>
      </c>
      <c r="BZ298" s="41">
        <f t="shared" si="140"/>
        <v>0</v>
      </c>
      <c r="CA298" s="58">
        <f t="shared" si="130"/>
        <v>45159</v>
      </c>
      <c r="CB298" s="47">
        <f t="shared" si="141"/>
        <v>0</v>
      </c>
    </row>
    <row r="299" spans="2:80" ht="15" hidden="1" outlineLevel="1" x14ac:dyDescent="0.2">
      <c r="B299" s="18">
        <f t="shared" si="134"/>
        <v>45166</v>
      </c>
      <c r="C299" s="17" t="s">
        <v>1</v>
      </c>
      <c r="D299" s="19">
        <f t="shared" si="135"/>
        <v>45172</v>
      </c>
      <c r="E299" s="20">
        <f t="shared" si="136"/>
        <v>8</v>
      </c>
      <c r="F299" s="21">
        <f t="shared" si="137"/>
        <v>2023</v>
      </c>
      <c r="G299" s="11">
        <f t="shared" si="161"/>
        <v>22</v>
      </c>
      <c r="H299" s="10">
        <f t="shared" si="161"/>
        <v>66</v>
      </c>
      <c r="I299" s="11"/>
      <c r="J299" s="11"/>
      <c r="K299" s="11"/>
      <c r="L299" s="11"/>
      <c r="M299" s="11"/>
      <c r="N299" s="11"/>
      <c r="O299" s="14"/>
      <c r="P299" s="14"/>
      <c r="Q299" s="14"/>
      <c r="R299" s="14"/>
      <c r="S299" s="14"/>
      <c r="T299" s="14"/>
      <c r="V299" s="22">
        <f t="shared" si="160"/>
        <v>0</v>
      </c>
      <c r="W299" s="22">
        <f t="shared" si="160"/>
        <v>0</v>
      </c>
      <c r="X299" s="22">
        <f t="shared" si="160"/>
        <v>0</v>
      </c>
      <c r="Y299" s="22">
        <f t="shared" si="160"/>
        <v>0</v>
      </c>
      <c r="Z299" s="22">
        <f t="shared" si="160"/>
        <v>0</v>
      </c>
      <c r="AA299" s="22">
        <f t="shared" si="160"/>
        <v>0</v>
      </c>
      <c r="AB299" s="1"/>
      <c r="AC299" s="5">
        <f t="shared" si="144"/>
        <v>0</v>
      </c>
      <c r="AD299" s="5">
        <f t="shared" si="145"/>
        <v>61</v>
      </c>
      <c r="AE299" s="5">
        <f t="shared" si="146"/>
        <v>0</v>
      </c>
      <c r="AF299" s="5">
        <f t="shared" si="147"/>
        <v>0</v>
      </c>
      <c r="AG299" s="5">
        <f t="shared" si="148"/>
        <v>0</v>
      </c>
      <c r="AH299" s="5">
        <f t="shared" si="149"/>
        <v>0</v>
      </c>
      <c r="AI299" s="5">
        <f t="shared" si="150"/>
        <v>0</v>
      </c>
      <c r="AJ299" s="5">
        <f t="shared" si="151"/>
        <v>0</v>
      </c>
      <c r="AK299" s="5">
        <f t="shared" si="152"/>
        <v>0</v>
      </c>
      <c r="AL299" s="5">
        <f t="shared" si="153"/>
        <v>0</v>
      </c>
      <c r="AM299" s="5">
        <f t="shared" si="154"/>
        <v>0</v>
      </c>
      <c r="AN299" s="5">
        <f t="shared" si="155"/>
        <v>0</v>
      </c>
      <c r="AO299" s="5">
        <f t="shared" si="156"/>
        <v>0</v>
      </c>
      <c r="AP299" s="5">
        <f t="shared" si="157"/>
        <v>0</v>
      </c>
      <c r="AQ299" s="5">
        <f t="shared" si="158"/>
        <v>0</v>
      </c>
      <c r="AR299" s="5">
        <f t="shared" si="159"/>
        <v>0</v>
      </c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M299" s="40">
        <f>IF(OR(V298=4,V298=8,V298=12,V298=16,V298=20),$CA$1,0)</f>
        <v>0</v>
      </c>
      <c r="BN299" s="40">
        <f>IF(OR(W298=4,W298=8,W298=12,W298=16,W298=20),$CA$1,0)</f>
        <v>0</v>
      </c>
      <c r="BO299" s="40">
        <f>IF(OR(X298=4,X298=8,X298=12,X298=16,X298=20),$CA$1,0)</f>
        <v>0</v>
      </c>
      <c r="BP299" s="40">
        <f>IF(OR(Y298=4,Y298=8,Y298=12,Y298=16,Y298=20),$CA$1,0)</f>
        <v>0</v>
      </c>
      <c r="BQ299" s="40">
        <f>IF(OR(Z298=4,Z298=8,Z298=12,Z298=16,Z298=20),$CA$1,0)</f>
        <v>0</v>
      </c>
      <c r="BR299" s="40">
        <f>IF(OR(AA298=4,AA298=8,AA298=12,AA298=16,AA298=20),$CA$1,0)</f>
        <v>0</v>
      </c>
      <c r="BS299" s="40">
        <f>IF(V295=20,$CB$1,0)</f>
        <v>0</v>
      </c>
      <c r="BT299" s="40">
        <f>IF(W295=20,$CB$1,0)</f>
        <v>0</v>
      </c>
      <c r="BU299" s="40">
        <f>IF(X295=20,$CB$1,0)</f>
        <v>0</v>
      </c>
      <c r="BV299" s="40">
        <f>IF(Y295=20,$CB$1,0)</f>
        <v>0</v>
      </c>
      <c r="BW299" s="40">
        <f>IF(Z295=20,$CB$1,0)</f>
        <v>0</v>
      </c>
      <c r="BX299" s="40">
        <f>IF(AA295=20,$CB$1,0)</f>
        <v>0</v>
      </c>
      <c r="BY299" s="41">
        <f t="shared" si="139"/>
        <v>0</v>
      </c>
      <c r="BZ299" s="41">
        <f t="shared" si="140"/>
        <v>0</v>
      </c>
      <c r="CA299" s="58">
        <f t="shared" si="130"/>
        <v>45166</v>
      </c>
      <c r="CB299" s="47">
        <f t="shared" si="141"/>
        <v>0</v>
      </c>
    </row>
    <row r="300" spans="2:80" ht="15" hidden="1" outlineLevel="1" x14ac:dyDescent="0.2">
      <c r="B300" s="18">
        <f t="shared" si="134"/>
        <v>45173</v>
      </c>
      <c r="C300" s="17" t="s">
        <v>1</v>
      </c>
      <c r="D300" s="19">
        <f t="shared" si="135"/>
        <v>45179</v>
      </c>
      <c r="E300" s="20">
        <f t="shared" si="136"/>
        <v>9</v>
      </c>
      <c r="F300" s="21">
        <f t="shared" si="137"/>
        <v>2023</v>
      </c>
      <c r="G300" s="11">
        <f t="shared" si="161"/>
        <v>22</v>
      </c>
      <c r="H300" s="10">
        <f t="shared" si="161"/>
        <v>66</v>
      </c>
      <c r="I300" s="11"/>
      <c r="J300" s="11"/>
      <c r="K300" s="11"/>
      <c r="L300" s="11"/>
      <c r="M300" s="11"/>
      <c r="N300" s="11"/>
      <c r="O300" s="14"/>
      <c r="P300" s="14"/>
      <c r="Q300" s="14"/>
      <c r="R300" s="14"/>
      <c r="S300" s="14"/>
      <c r="T300" s="14"/>
      <c r="V300" s="22">
        <f t="shared" si="160"/>
        <v>0</v>
      </c>
      <c r="W300" s="22">
        <f t="shared" si="160"/>
        <v>0</v>
      </c>
      <c r="X300" s="22">
        <f t="shared" si="160"/>
        <v>0</v>
      </c>
      <c r="Y300" s="22">
        <f t="shared" si="160"/>
        <v>0</v>
      </c>
      <c r="Z300" s="22">
        <f t="shared" si="160"/>
        <v>0</v>
      </c>
      <c r="AA300" s="22">
        <f t="shared" si="160"/>
        <v>0</v>
      </c>
      <c r="AB300" s="1"/>
      <c r="AC300" s="5">
        <f t="shared" si="144"/>
        <v>0</v>
      </c>
      <c r="AD300" s="5">
        <f t="shared" si="145"/>
        <v>62</v>
      </c>
      <c r="AE300" s="5">
        <f t="shared" si="146"/>
        <v>0</v>
      </c>
      <c r="AF300" s="5">
        <f t="shared" si="147"/>
        <v>0</v>
      </c>
      <c r="AG300" s="5">
        <f t="shared" si="148"/>
        <v>0</v>
      </c>
      <c r="AH300" s="5">
        <f t="shared" si="149"/>
        <v>0</v>
      </c>
      <c r="AI300" s="5">
        <f t="shared" si="150"/>
        <v>0</v>
      </c>
      <c r="AJ300" s="5">
        <f t="shared" si="151"/>
        <v>0</v>
      </c>
      <c r="AK300" s="5">
        <f t="shared" si="152"/>
        <v>0</v>
      </c>
      <c r="AL300" s="5">
        <f t="shared" si="153"/>
        <v>0</v>
      </c>
      <c r="AM300" s="5">
        <f t="shared" si="154"/>
        <v>0</v>
      </c>
      <c r="AN300" s="5">
        <f t="shared" si="155"/>
        <v>0</v>
      </c>
      <c r="AO300" s="5">
        <f t="shared" si="156"/>
        <v>0</v>
      </c>
      <c r="AP300" s="5">
        <f t="shared" si="157"/>
        <v>0</v>
      </c>
      <c r="AQ300" s="5">
        <f t="shared" si="158"/>
        <v>0</v>
      </c>
      <c r="AR300" s="5">
        <f t="shared" si="159"/>
        <v>0</v>
      </c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M300" s="40">
        <f>IF(OR(V299=4,V299=8,V299=12,V299=16,V299=20),$CA$1,0)</f>
        <v>0</v>
      </c>
      <c r="BN300" s="40">
        <f>IF(OR(W299=4,W299=8,W299=12,W299=16,W299=20),$CA$1,0)</f>
        <v>0</v>
      </c>
      <c r="BO300" s="40">
        <f>IF(OR(X299=4,X299=8,X299=12,X299=16,X299=20),$CA$1,0)</f>
        <v>0</v>
      </c>
      <c r="BP300" s="40">
        <f>IF(OR(Y299=4,Y299=8,Y299=12,Y299=16,Y299=20),$CA$1,0)</f>
        <v>0</v>
      </c>
      <c r="BQ300" s="40">
        <f>IF(OR(Z299=4,Z299=8,Z299=12,Z299=16,Z299=20),$CA$1,0)</f>
        <v>0</v>
      </c>
      <c r="BR300" s="40">
        <f>IF(OR(AA299=4,AA299=8,AA299=12,AA299=16,AA299=20),$CA$1,0)</f>
        <v>0</v>
      </c>
      <c r="BS300" s="40">
        <f>IF(V296=20,$CB$1,0)</f>
        <v>0</v>
      </c>
      <c r="BT300" s="40">
        <f>IF(W296=20,$CB$1,0)</f>
        <v>0</v>
      </c>
      <c r="BU300" s="40">
        <f>IF(X296=20,$CB$1,0)</f>
        <v>0</v>
      </c>
      <c r="BV300" s="40">
        <f>IF(Y296=20,$CB$1,0)</f>
        <v>0</v>
      </c>
      <c r="BW300" s="40">
        <f>IF(Z296=20,$CB$1,0)</f>
        <v>0</v>
      </c>
      <c r="BX300" s="40">
        <f>IF(AA296=20,$CB$1,0)</f>
        <v>0</v>
      </c>
      <c r="BY300" s="41">
        <f t="shared" si="139"/>
        <v>0</v>
      </c>
      <c r="BZ300" s="41">
        <f t="shared" si="140"/>
        <v>0</v>
      </c>
      <c r="CA300" s="58">
        <f t="shared" si="130"/>
        <v>45173</v>
      </c>
      <c r="CB300" s="47">
        <f t="shared" si="141"/>
        <v>0</v>
      </c>
    </row>
    <row r="301" spans="2:80" ht="15" hidden="1" outlineLevel="1" x14ac:dyDescent="0.2">
      <c r="B301" s="18">
        <f t="shared" si="134"/>
        <v>45180</v>
      </c>
      <c r="C301" s="17" t="s">
        <v>1</v>
      </c>
      <c r="D301" s="19">
        <f t="shared" si="135"/>
        <v>45186</v>
      </c>
      <c r="E301" s="20">
        <f t="shared" si="136"/>
        <v>9</v>
      </c>
      <c r="F301" s="21">
        <f t="shared" si="137"/>
        <v>2023</v>
      </c>
      <c r="G301" s="11">
        <f t="shared" si="161"/>
        <v>22</v>
      </c>
      <c r="H301" s="10">
        <f t="shared" si="161"/>
        <v>66</v>
      </c>
      <c r="I301" s="11"/>
      <c r="J301" s="11"/>
      <c r="K301" s="11"/>
      <c r="L301" s="11"/>
      <c r="M301" s="11"/>
      <c r="N301" s="11"/>
      <c r="O301" s="14"/>
      <c r="P301" s="14"/>
      <c r="Q301" s="14"/>
      <c r="R301" s="14"/>
      <c r="S301" s="14"/>
      <c r="T301" s="14"/>
      <c r="V301" s="22">
        <f t="shared" si="160"/>
        <v>0</v>
      </c>
      <c r="W301" s="22">
        <f t="shared" si="160"/>
        <v>0</v>
      </c>
      <c r="X301" s="22">
        <f t="shared" si="160"/>
        <v>0</v>
      </c>
      <c r="Y301" s="22">
        <f t="shared" si="160"/>
        <v>0</v>
      </c>
      <c r="Z301" s="22">
        <f t="shared" si="160"/>
        <v>0</v>
      </c>
      <c r="AA301" s="22">
        <f t="shared" si="160"/>
        <v>0</v>
      </c>
      <c r="AB301" s="1"/>
      <c r="AC301" s="5">
        <f t="shared" si="144"/>
        <v>0</v>
      </c>
      <c r="AD301" s="5">
        <f t="shared" si="145"/>
        <v>63</v>
      </c>
      <c r="AE301" s="5">
        <f t="shared" si="146"/>
        <v>0</v>
      </c>
      <c r="AF301" s="5">
        <f t="shared" si="147"/>
        <v>0</v>
      </c>
      <c r="AG301" s="5">
        <f t="shared" si="148"/>
        <v>0</v>
      </c>
      <c r="AH301" s="5">
        <f t="shared" si="149"/>
        <v>0</v>
      </c>
      <c r="AI301" s="5">
        <f t="shared" si="150"/>
        <v>0</v>
      </c>
      <c r="AJ301" s="5">
        <f t="shared" si="151"/>
        <v>0</v>
      </c>
      <c r="AK301" s="5">
        <f t="shared" si="152"/>
        <v>0</v>
      </c>
      <c r="AL301" s="5">
        <f t="shared" si="153"/>
        <v>0</v>
      </c>
      <c r="AM301" s="5">
        <f t="shared" si="154"/>
        <v>0</v>
      </c>
      <c r="AN301" s="5">
        <f t="shared" si="155"/>
        <v>0</v>
      </c>
      <c r="AO301" s="5">
        <f t="shared" si="156"/>
        <v>0</v>
      </c>
      <c r="AP301" s="5">
        <f t="shared" si="157"/>
        <v>0</v>
      </c>
      <c r="AQ301" s="5">
        <f t="shared" si="158"/>
        <v>0</v>
      </c>
      <c r="AR301" s="5">
        <f t="shared" si="159"/>
        <v>0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M301" s="40">
        <f>IF(OR(V300=4,V300=8,V300=12,V300=16,V300=20),$CA$1,0)</f>
        <v>0</v>
      </c>
      <c r="BN301" s="40">
        <f>IF(OR(W300=4,W300=8,W300=12,W300=16,W300=20),$CA$1,0)</f>
        <v>0</v>
      </c>
      <c r="BO301" s="40">
        <f>IF(OR(X300=4,X300=8,X300=12,X300=16,X300=20),$CA$1,0)</f>
        <v>0</v>
      </c>
      <c r="BP301" s="40">
        <f>IF(OR(Y300=4,Y300=8,Y300=12,Y300=16,Y300=20),$CA$1,0)</f>
        <v>0</v>
      </c>
      <c r="BQ301" s="40">
        <f>IF(OR(Z300=4,Z300=8,Z300=12,Z300=16,Z300=20),$CA$1,0)</f>
        <v>0</v>
      </c>
      <c r="BR301" s="40">
        <f>IF(OR(AA300=4,AA300=8,AA300=12,AA300=16,AA300=20),$CA$1,0)</f>
        <v>0</v>
      </c>
      <c r="BS301" s="40">
        <f>IF(V297=20,$CB$1,0)</f>
        <v>0</v>
      </c>
      <c r="BT301" s="40">
        <f>IF(W297=20,$CB$1,0)</f>
        <v>0</v>
      </c>
      <c r="BU301" s="40">
        <f>IF(X297=20,$CB$1,0)</f>
        <v>0</v>
      </c>
      <c r="BV301" s="40">
        <f>IF(Y297=20,$CB$1,0)</f>
        <v>0</v>
      </c>
      <c r="BW301" s="40">
        <f>IF(Z297=20,$CB$1,0)</f>
        <v>0</v>
      </c>
      <c r="BX301" s="40">
        <f>IF(AA297=20,$CB$1,0)</f>
        <v>0</v>
      </c>
      <c r="BY301" s="41">
        <f t="shared" si="139"/>
        <v>0</v>
      </c>
      <c r="BZ301" s="41">
        <f t="shared" si="140"/>
        <v>0</v>
      </c>
      <c r="CA301" s="58">
        <f t="shared" si="130"/>
        <v>45180</v>
      </c>
      <c r="CB301" s="47">
        <f t="shared" si="141"/>
        <v>0</v>
      </c>
    </row>
    <row r="302" spans="2:80" ht="15" hidden="1" outlineLevel="1" x14ac:dyDescent="0.2">
      <c r="B302" s="18">
        <f t="shared" si="134"/>
        <v>45187</v>
      </c>
      <c r="C302" s="17" t="s">
        <v>1</v>
      </c>
      <c r="D302" s="19">
        <f t="shared" si="135"/>
        <v>45193</v>
      </c>
      <c r="E302" s="20">
        <f t="shared" si="136"/>
        <v>9</v>
      </c>
      <c r="F302" s="21">
        <f t="shared" si="137"/>
        <v>2023</v>
      </c>
      <c r="G302" s="11">
        <f t="shared" si="161"/>
        <v>22</v>
      </c>
      <c r="H302" s="10">
        <f t="shared" si="161"/>
        <v>66</v>
      </c>
      <c r="I302" s="11"/>
      <c r="J302" s="11"/>
      <c r="K302" s="11"/>
      <c r="L302" s="11"/>
      <c r="M302" s="11"/>
      <c r="N302" s="11"/>
      <c r="O302" s="14"/>
      <c r="P302" s="14"/>
      <c r="Q302" s="14"/>
      <c r="R302" s="14"/>
      <c r="S302" s="14"/>
      <c r="T302" s="14"/>
      <c r="V302" s="22">
        <f t="shared" si="160"/>
        <v>0</v>
      </c>
      <c r="W302" s="22">
        <f t="shared" si="160"/>
        <v>0</v>
      </c>
      <c r="X302" s="22">
        <f t="shared" si="160"/>
        <v>0</v>
      </c>
      <c r="Y302" s="22">
        <f t="shared" si="160"/>
        <v>0</v>
      </c>
      <c r="Z302" s="22">
        <f t="shared" si="160"/>
        <v>0</v>
      </c>
      <c r="AA302" s="22">
        <f t="shared" si="160"/>
        <v>0</v>
      </c>
      <c r="AB302" s="1"/>
      <c r="AC302" s="5">
        <f t="shared" si="144"/>
        <v>0</v>
      </c>
      <c r="AD302" s="5">
        <f t="shared" si="145"/>
        <v>64</v>
      </c>
      <c r="AE302" s="5">
        <f t="shared" si="146"/>
        <v>0</v>
      </c>
      <c r="AF302" s="5">
        <f t="shared" si="147"/>
        <v>0</v>
      </c>
      <c r="AG302" s="5">
        <f t="shared" si="148"/>
        <v>0</v>
      </c>
      <c r="AH302" s="5">
        <f t="shared" si="149"/>
        <v>0</v>
      </c>
      <c r="AI302" s="5">
        <f t="shared" si="150"/>
        <v>0</v>
      </c>
      <c r="AJ302" s="5">
        <f t="shared" si="151"/>
        <v>0</v>
      </c>
      <c r="AK302" s="5">
        <f t="shared" si="152"/>
        <v>0</v>
      </c>
      <c r="AL302" s="5">
        <f t="shared" si="153"/>
        <v>0</v>
      </c>
      <c r="AM302" s="5">
        <f t="shared" si="154"/>
        <v>0</v>
      </c>
      <c r="AN302" s="5">
        <f t="shared" si="155"/>
        <v>0</v>
      </c>
      <c r="AO302" s="5">
        <f t="shared" si="156"/>
        <v>0</v>
      </c>
      <c r="AP302" s="5">
        <f t="shared" si="157"/>
        <v>0</v>
      </c>
      <c r="AQ302" s="5">
        <f t="shared" si="158"/>
        <v>0</v>
      </c>
      <c r="AR302" s="5">
        <f t="shared" si="159"/>
        <v>0</v>
      </c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M302" s="40">
        <f>IF(OR(V301=4,V301=8,V301=12,V301=16,V301=20),$CA$1,0)</f>
        <v>0</v>
      </c>
      <c r="BN302" s="40">
        <f>IF(OR(W301=4,W301=8,W301=12,W301=16,W301=20),$CA$1,0)</f>
        <v>0</v>
      </c>
      <c r="BO302" s="40">
        <f>IF(OR(X301=4,X301=8,X301=12,X301=16,X301=20),$CA$1,0)</f>
        <v>0</v>
      </c>
      <c r="BP302" s="40">
        <f>IF(OR(Y301=4,Y301=8,Y301=12,Y301=16,Y301=20),$CA$1,0)</f>
        <v>0</v>
      </c>
      <c r="BQ302" s="40">
        <f>IF(OR(Z301=4,Z301=8,Z301=12,Z301=16,Z301=20),$CA$1,0)</f>
        <v>0</v>
      </c>
      <c r="BR302" s="40">
        <f>IF(OR(AA301=4,AA301=8,AA301=12,AA301=16,AA301=20),$CA$1,0)</f>
        <v>0</v>
      </c>
      <c r="BS302" s="40">
        <f>IF(V298=20,$CB$1,0)</f>
        <v>0</v>
      </c>
      <c r="BT302" s="40">
        <f>IF(W298=20,$CB$1,0)</f>
        <v>0</v>
      </c>
      <c r="BU302" s="40">
        <f>IF(X298=20,$CB$1,0)</f>
        <v>0</v>
      </c>
      <c r="BV302" s="40">
        <f>IF(Y298=20,$CB$1,0)</f>
        <v>0</v>
      </c>
      <c r="BW302" s="40">
        <f>IF(Z298=20,$CB$1,0)</f>
        <v>0</v>
      </c>
      <c r="BX302" s="40">
        <f>IF(AA298=20,$CB$1,0)</f>
        <v>0</v>
      </c>
      <c r="BY302" s="41">
        <f t="shared" si="139"/>
        <v>0</v>
      </c>
      <c r="BZ302" s="41">
        <f t="shared" si="140"/>
        <v>0</v>
      </c>
      <c r="CA302" s="58">
        <f t="shared" ref="CA302:CA316" si="162">B302</f>
        <v>45187</v>
      </c>
      <c r="CB302" s="47">
        <f t="shared" si="141"/>
        <v>0</v>
      </c>
    </row>
    <row r="303" spans="2:80" ht="15" hidden="1" outlineLevel="1" x14ac:dyDescent="0.2">
      <c r="B303" s="18">
        <f t="shared" si="134"/>
        <v>45194</v>
      </c>
      <c r="C303" s="17" t="s">
        <v>1</v>
      </c>
      <c r="D303" s="19">
        <f t="shared" si="135"/>
        <v>45200</v>
      </c>
      <c r="E303" s="20">
        <f t="shared" si="136"/>
        <v>9</v>
      </c>
      <c r="F303" s="21">
        <f t="shared" si="137"/>
        <v>2023</v>
      </c>
      <c r="G303" s="11">
        <f t="shared" si="161"/>
        <v>22</v>
      </c>
      <c r="H303" s="10">
        <f t="shared" si="161"/>
        <v>66</v>
      </c>
      <c r="I303" s="11"/>
      <c r="J303" s="11"/>
      <c r="K303" s="11"/>
      <c r="L303" s="11"/>
      <c r="M303" s="11"/>
      <c r="N303" s="11"/>
      <c r="O303" s="14"/>
      <c r="P303" s="14"/>
      <c r="Q303" s="14"/>
      <c r="R303" s="14"/>
      <c r="S303" s="14"/>
      <c r="T303" s="14"/>
      <c r="V303" s="22">
        <f t="shared" si="160"/>
        <v>0</v>
      </c>
      <c r="W303" s="22">
        <f t="shared" si="160"/>
        <v>0</v>
      </c>
      <c r="X303" s="22">
        <f t="shared" si="160"/>
        <v>0</v>
      </c>
      <c r="Y303" s="22">
        <f t="shared" si="160"/>
        <v>0</v>
      </c>
      <c r="Z303" s="22">
        <f t="shared" si="160"/>
        <v>0</v>
      </c>
      <c r="AA303" s="22">
        <f t="shared" si="160"/>
        <v>0</v>
      </c>
      <c r="AB303" s="1"/>
      <c r="AC303" s="5">
        <f t="shared" si="144"/>
        <v>0</v>
      </c>
      <c r="AD303" s="5">
        <f t="shared" si="145"/>
        <v>65</v>
      </c>
      <c r="AE303" s="5">
        <f t="shared" si="146"/>
        <v>0</v>
      </c>
      <c r="AF303" s="5">
        <f t="shared" si="147"/>
        <v>0</v>
      </c>
      <c r="AG303" s="5">
        <f t="shared" si="148"/>
        <v>0</v>
      </c>
      <c r="AH303" s="5">
        <f t="shared" si="149"/>
        <v>0</v>
      </c>
      <c r="AI303" s="5">
        <f t="shared" si="150"/>
        <v>0</v>
      </c>
      <c r="AJ303" s="5">
        <f t="shared" si="151"/>
        <v>0</v>
      </c>
      <c r="AK303" s="5">
        <f t="shared" si="152"/>
        <v>0</v>
      </c>
      <c r="AL303" s="5">
        <f t="shared" si="153"/>
        <v>0</v>
      </c>
      <c r="AM303" s="5">
        <f t="shared" si="154"/>
        <v>0</v>
      </c>
      <c r="AN303" s="5">
        <f t="shared" si="155"/>
        <v>0</v>
      </c>
      <c r="AO303" s="5">
        <f t="shared" si="156"/>
        <v>0</v>
      </c>
      <c r="AP303" s="5">
        <f t="shared" si="157"/>
        <v>0</v>
      </c>
      <c r="AQ303" s="5">
        <f t="shared" si="158"/>
        <v>0</v>
      </c>
      <c r="AR303" s="5">
        <f t="shared" si="159"/>
        <v>0</v>
      </c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M303" s="40">
        <f>IF(OR(V302=4,V302=8,V302=12,V302=16,V302=20),$CA$1,0)</f>
        <v>0</v>
      </c>
      <c r="BN303" s="40">
        <f>IF(OR(W302=4,W302=8,W302=12,W302=16,W302=20),$CA$1,0)</f>
        <v>0</v>
      </c>
      <c r="BO303" s="40">
        <f>IF(OR(X302=4,X302=8,X302=12,X302=16,X302=20),$CA$1,0)</f>
        <v>0</v>
      </c>
      <c r="BP303" s="40">
        <f>IF(OR(Y302=4,Y302=8,Y302=12,Y302=16,Y302=20),$CA$1,0)</f>
        <v>0</v>
      </c>
      <c r="BQ303" s="40">
        <f>IF(OR(Z302=4,Z302=8,Z302=12,Z302=16,Z302=20),$CA$1,0)</f>
        <v>0</v>
      </c>
      <c r="BR303" s="40">
        <f>IF(OR(AA302=4,AA302=8,AA302=12,AA302=16,AA302=20),$CA$1,0)</f>
        <v>0</v>
      </c>
      <c r="BS303" s="40">
        <f>IF(V299=20,$CB$1,0)</f>
        <v>0</v>
      </c>
      <c r="BT303" s="40">
        <f>IF(W299=20,$CB$1,0)</f>
        <v>0</v>
      </c>
      <c r="BU303" s="40">
        <f>IF(X299=20,$CB$1,0)</f>
        <v>0</v>
      </c>
      <c r="BV303" s="40">
        <f>IF(Y299=20,$CB$1,0)</f>
        <v>0</v>
      </c>
      <c r="BW303" s="40">
        <f>IF(Z299=20,$CB$1,0)</f>
        <v>0</v>
      </c>
      <c r="BX303" s="40">
        <f>IF(AA299=20,$CB$1,0)</f>
        <v>0</v>
      </c>
      <c r="BY303" s="41">
        <f t="shared" si="139"/>
        <v>0</v>
      </c>
      <c r="BZ303" s="41">
        <f t="shared" si="140"/>
        <v>0</v>
      </c>
      <c r="CA303" s="58">
        <f t="shared" si="162"/>
        <v>45194</v>
      </c>
      <c r="CB303" s="47">
        <f t="shared" si="141"/>
        <v>0</v>
      </c>
    </row>
    <row r="304" spans="2:80" ht="15" hidden="1" outlineLevel="1" x14ac:dyDescent="0.2">
      <c r="B304" s="18">
        <f t="shared" si="134"/>
        <v>45201</v>
      </c>
      <c r="C304" s="17" t="s">
        <v>1</v>
      </c>
      <c r="D304" s="19">
        <f t="shared" si="135"/>
        <v>45207</v>
      </c>
      <c r="E304" s="20">
        <f t="shared" si="136"/>
        <v>10</v>
      </c>
      <c r="F304" s="21">
        <f t="shared" si="137"/>
        <v>2023</v>
      </c>
      <c r="G304" s="11">
        <f t="shared" si="161"/>
        <v>22</v>
      </c>
      <c r="H304" s="10">
        <f t="shared" si="161"/>
        <v>66</v>
      </c>
      <c r="I304" s="11"/>
      <c r="J304" s="11"/>
      <c r="K304" s="11"/>
      <c r="L304" s="11"/>
      <c r="M304" s="11"/>
      <c r="N304" s="11"/>
      <c r="O304" s="14"/>
      <c r="P304" s="14"/>
      <c r="Q304" s="14"/>
      <c r="R304" s="14"/>
      <c r="S304" s="14"/>
      <c r="T304" s="14"/>
      <c r="V304" s="22">
        <f t="shared" si="160"/>
        <v>0</v>
      </c>
      <c r="W304" s="22">
        <f t="shared" si="160"/>
        <v>0</v>
      </c>
      <c r="X304" s="22">
        <f t="shared" si="160"/>
        <v>0</v>
      </c>
      <c r="Y304" s="22">
        <f t="shared" si="160"/>
        <v>0</v>
      </c>
      <c r="Z304" s="22">
        <f t="shared" si="160"/>
        <v>0</v>
      </c>
      <c r="AA304" s="22">
        <f t="shared" si="160"/>
        <v>0</v>
      </c>
      <c r="AB304" s="1"/>
      <c r="AC304" s="5">
        <f t="shared" si="144"/>
        <v>0</v>
      </c>
      <c r="AD304" s="5">
        <f t="shared" si="145"/>
        <v>66</v>
      </c>
      <c r="AE304" s="5">
        <f t="shared" si="146"/>
        <v>0</v>
      </c>
      <c r="AF304" s="5">
        <f t="shared" si="147"/>
        <v>0</v>
      </c>
      <c r="AG304" s="5">
        <f t="shared" si="148"/>
        <v>0</v>
      </c>
      <c r="AH304" s="5">
        <f t="shared" si="149"/>
        <v>0</v>
      </c>
      <c r="AI304" s="5">
        <f t="shared" si="150"/>
        <v>0</v>
      </c>
      <c r="AJ304" s="5">
        <f t="shared" si="151"/>
        <v>0</v>
      </c>
      <c r="AK304" s="5">
        <f t="shared" si="152"/>
        <v>0</v>
      </c>
      <c r="AL304" s="5">
        <f t="shared" si="153"/>
        <v>0</v>
      </c>
      <c r="AM304" s="5">
        <f t="shared" si="154"/>
        <v>0</v>
      </c>
      <c r="AN304" s="5">
        <f t="shared" si="155"/>
        <v>0</v>
      </c>
      <c r="AO304" s="5">
        <f t="shared" si="156"/>
        <v>0</v>
      </c>
      <c r="AP304" s="5">
        <f t="shared" si="157"/>
        <v>0</v>
      </c>
      <c r="AQ304" s="5">
        <f t="shared" si="158"/>
        <v>0</v>
      </c>
      <c r="AR304" s="5">
        <f t="shared" si="159"/>
        <v>0</v>
      </c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M304" s="40">
        <f>IF(OR(V303=4,V303=8,V303=12,V303=16,V303=20),$CA$1,0)</f>
        <v>0</v>
      </c>
      <c r="BN304" s="40">
        <f>IF(OR(W303=4,W303=8,W303=12,W303=16,W303=20),$CA$1,0)</f>
        <v>0</v>
      </c>
      <c r="BO304" s="40">
        <f>IF(OR(X303=4,X303=8,X303=12,X303=16,X303=20),$CA$1,0)</f>
        <v>0</v>
      </c>
      <c r="BP304" s="40">
        <f>IF(OR(Y303=4,Y303=8,Y303=12,Y303=16,Y303=20),$CA$1,0)</f>
        <v>0</v>
      </c>
      <c r="BQ304" s="40">
        <f>IF(OR(Z303=4,Z303=8,Z303=12,Z303=16,Z303=20),$CA$1,0)</f>
        <v>0</v>
      </c>
      <c r="BR304" s="40">
        <f>IF(OR(AA303=4,AA303=8,AA303=12,AA303=16,AA303=20),$CA$1,0)</f>
        <v>0</v>
      </c>
      <c r="BS304" s="40">
        <f>IF(V300=20,$CB$1,0)</f>
        <v>0</v>
      </c>
      <c r="BT304" s="40">
        <f>IF(W300=20,$CB$1,0)</f>
        <v>0</v>
      </c>
      <c r="BU304" s="40">
        <f>IF(X300=20,$CB$1,0)</f>
        <v>0</v>
      </c>
      <c r="BV304" s="40">
        <f>IF(Y300=20,$CB$1,0)</f>
        <v>0</v>
      </c>
      <c r="BW304" s="40">
        <f>IF(Z300=20,$CB$1,0)</f>
        <v>0</v>
      </c>
      <c r="BX304" s="40">
        <f>IF(AA300=20,$CB$1,0)</f>
        <v>0</v>
      </c>
      <c r="BY304" s="41">
        <f t="shared" si="139"/>
        <v>0</v>
      </c>
      <c r="BZ304" s="41">
        <f t="shared" si="140"/>
        <v>0</v>
      </c>
      <c r="CA304" s="58">
        <f t="shared" si="162"/>
        <v>45201</v>
      </c>
      <c r="CB304" s="47">
        <f t="shared" si="141"/>
        <v>0</v>
      </c>
    </row>
    <row r="305" spans="2:80" ht="15" hidden="1" outlineLevel="1" x14ac:dyDescent="0.2">
      <c r="B305" s="18">
        <f t="shared" si="134"/>
        <v>45208</v>
      </c>
      <c r="C305" s="17" t="s">
        <v>1</v>
      </c>
      <c r="D305" s="19">
        <f t="shared" si="135"/>
        <v>45214</v>
      </c>
      <c r="E305" s="20">
        <f t="shared" si="136"/>
        <v>10</v>
      </c>
      <c r="F305" s="21">
        <f t="shared" si="137"/>
        <v>2023</v>
      </c>
      <c r="G305" s="11">
        <f t="shared" si="161"/>
        <v>22</v>
      </c>
      <c r="H305" s="10">
        <f t="shared" si="161"/>
        <v>66</v>
      </c>
      <c r="I305" s="11"/>
      <c r="J305" s="11"/>
      <c r="K305" s="11"/>
      <c r="L305" s="11"/>
      <c r="M305" s="11"/>
      <c r="N305" s="11"/>
      <c r="O305" s="14"/>
      <c r="P305" s="14"/>
      <c r="Q305" s="14"/>
      <c r="R305" s="14"/>
      <c r="S305" s="14"/>
      <c r="T305" s="14"/>
      <c r="V305" s="22">
        <f t="shared" si="160"/>
        <v>0</v>
      </c>
      <c r="W305" s="22">
        <f t="shared" si="160"/>
        <v>0</v>
      </c>
      <c r="X305" s="22">
        <f t="shared" si="160"/>
        <v>0</v>
      </c>
      <c r="Y305" s="22">
        <f t="shared" si="160"/>
        <v>0</v>
      </c>
      <c r="Z305" s="22">
        <f t="shared" si="160"/>
        <v>0</v>
      </c>
      <c r="AA305" s="22">
        <f t="shared" si="160"/>
        <v>0</v>
      </c>
      <c r="AB305" s="1"/>
      <c r="AC305" s="5">
        <f t="shared" si="144"/>
        <v>0</v>
      </c>
      <c r="AD305" s="5">
        <f t="shared" si="145"/>
        <v>0</v>
      </c>
      <c r="AE305" s="5">
        <f t="shared" si="146"/>
        <v>0</v>
      </c>
      <c r="AF305" s="5">
        <f t="shared" si="147"/>
        <v>0</v>
      </c>
      <c r="AG305" s="5">
        <f t="shared" si="148"/>
        <v>0</v>
      </c>
      <c r="AH305" s="5">
        <f t="shared" si="149"/>
        <v>0</v>
      </c>
      <c r="AI305" s="5">
        <f t="shared" si="150"/>
        <v>0</v>
      </c>
      <c r="AJ305" s="5">
        <f t="shared" si="151"/>
        <v>0</v>
      </c>
      <c r="AK305" s="5">
        <f t="shared" si="152"/>
        <v>0</v>
      </c>
      <c r="AL305" s="5">
        <f t="shared" si="153"/>
        <v>0</v>
      </c>
      <c r="AM305" s="5">
        <f t="shared" si="154"/>
        <v>0</v>
      </c>
      <c r="AN305" s="5">
        <f t="shared" si="155"/>
        <v>0</v>
      </c>
      <c r="AO305" s="5">
        <f t="shared" si="156"/>
        <v>0</v>
      </c>
      <c r="AP305" s="5">
        <f t="shared" si="157"/>
        <v>0</v>
      </c>
      <c r="AQ305" s="5">
        <f t="shared" si="158"/>
        <v>0</v>
      </c>
      <c r="AR305" s="5">
        <f t="shared" si="159"/>
        <v>0</v>
      </c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M305" s="40">
        <f>IF(OR(V304=4,V304=8,V304=12,V304=16,V304=20),$CA$1,0)</f>
        <v>0</v>
      </c>
      <c r="BN305" s="40">
        <f>IF(OR(W304=4,W304=8,W304=12,W304=16,W304=20),$CA$1,0)</f>
        <v>0</v>
      </c>
      <c r="BO305" s="40">
        <f>IF(OR(X304=4,X304=8,X304=12,X304=16,X304=20),$CA$1,0)</f>
        <v>0</v>
      </c>
      <c r="BP305" s="40">
        <f>IF(OR(Y304=4,Y304=8,Y304=12,Y304=16,Y304=20),$CA$1,0)</f>
        <v>0</v>
      </c>
      <c r="BQ305" s="40">
        <f>IF(OR(Z304=4,Z304=8,Z304=12,Z304=16,Z304=20),$CA$1,0)</f>
        <v>0</v>
      </c>
      <c r="BR305" s="40">
        <f>IF(OR(AA304=4,AA304=8,AA304=12,AA304=16,AA304=20),$CA$1,0)</f>
        <v>0</v>
      </c>
      <c r="BS305" s="40">
        <f>IF(V301=20,$CB$1,0)</f>
        <v>0</v>
      </c>
      <c r="BT305" s="40">
        <f>IF(W301=20,$CB$1,0)</f>
        <v>0</v>
      </c>
      <c r="BU305" s="40">
        <f>IF(X301=20,$CB$1,0)</f>
        <v>0</v>
      </c>
      <c r="BV305" s="40">
        <f>IF(Y301=20,$CB$1,0)</f>
        <v>0</v>
      </c>
      <c r="BW305" s="40">
        <f>IF(Z301=20,$CB$1,0)</f>
        <v>0</v>
      </c>
      <c r="BX305" s="40">
        <f>IF(AA301=20,$CB$1,0)</f>
        <v>0</v>
      </c>
      <c r="BY305" s="41">
        <f t="shared" si="139"/>
        <v>0</v>
      </c>
      <c r="BZ305" s="41">
        <f t="shared" si="140"/>
        <v>0</v>
      </c>
      <c r="CA305" s="58">
        <f t="shared" si="162"/>
        <v>45208</v>
      </c>
      <c r="CB305" s="47">
        <f t="shared" si="141"/>
        <v>0</v>
      </c>
    </row>
    <row r="306" spans="2:80" ht="15" hidden="1" outlineLevel="1" x14ac:dyDescent="0.2">
      <c r="B306" s="18">
        <f t="shared" si="134"/>
        <v>45215</v>
      </c>
      <c r="C306" s="17" t="s">
        <v>1</v>
      </c>
      <c r="D306" s="19">
        <f t="shared" si="135"/>
        <v>45221</v>
      </c>
      <c r="E306" s="20">
        <f t="shared" si="136"/>
        <v>10</v>
      </c>
      <c r="F306" s="21">
        <f t="shared" si="137"/>
        <v>2023</v>
      </c>
      <c r="G306" s="11">
        <f t="shared" si="161"/>
        <v>22</v>
      </c>
      <c r="H306" s="10">
        <f t="shared" si="161"/>
        <v>66</v>
      </c>
      <c r="I306" s="11"/>
      <c r="J306" s="11"/>
      <c r="K306" s="11"/>
      <c r="L306" s="11"/>
      <c r="M306" s="11"/>
      <c r="N306" s="11"/>
      <c r="O306" s="14"/>
      <c r="P306" s="14"/>
      <c r="Q306" s="14"/>
      <c r="R306" s="14"/>
      <c r="S306" s="14"/>
      <c r="T306" s="14"/>
      <c r="V306" s="22">
        <f t="shared" si="160"/>
        <v>0</v>
      </c>
      <c r="W306" s="22">
        <f t="shared" si="160"/>
        <v>0</v>
      </c>
      <c r="X306" s="22">
        <f t="shared" si="160"/>
        <v>0</v>
      </c>
      <c r="Y306" s="22">
        <f t="shared" si="160"/>
        <v>0</v>
      </c>
      <c r="Z306" s="22">
        <f t="shared" si="160"/>
        <v>0</v>
      </c>
      <c r="AA306" s="22">
        <f t="shared" si="160"/>
        <v>0</v>
      </c>
      <c r="AB306" s="1"/>
      <c r="AC306" s="5">
        <f t="shared" si="144"/>
        <v>0</v>
      </c>
      <c r="AD306" s="5">
        <f t="shared" si="145"/>
        <v>0</v>
      </c>
      <c r="AE306" s="5">
        <f t="shared" si="146"/>
        <v>0</v>
      </c>
      <c r="AF306" s="5">
        <f t="shared" si="147"/>
        <v>0</v>
      </c>
      <c r="AG306" s="5">
        <f t="shared" si="148"/>
        <v>0</v>
      </c>
      <c r="AH306" s="5">
        <f t="shared" si="149"/>
        <v>0</v>
      </c>
      <c r="AI306" s="5">
        <f t="shared" si="150"/>
        <v>0</v>
      </c>
      <c r="AJ306" s="5">
        <f t="shared" si="151"/>
        <v>0</v>
      </c>
      <c r="AK306" s="5">
        <f t="shared" si="152"/>
        <v>0</v>
      </c>
      <c r="AL306" s="5">
        <f t="shared" si="153"/>
        <v>0</v>
      </c>
      <c r="AM306" s="5">
        <f t="shared" si="154"/>
        <v>0</v>
      </c>
      <c r="AN306" s="5">
        <f t="shared" si="155"/>
        <v>0</v>
      </c>
      <c r="AO306" s="5">
        <f t="shared" si="156"/>
        <v>0</v>
      </c>
      <c r="AP306" s="5">
        <f t="shared" si="157"/>
        <v>0</v>
      </c>
      <c r="AQ306" s="5">
        <f t="shared" si="158"/>
        <v>0</v>
      </c>
      <c r="AR306" s="5">
        <f t="shared" si="159"/>
        <v>0</v>
      </c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M306" s="40">
        <f>IF(OR(V305=4,V305=8,V305=12,V305=16,V305=20),$CA$1,0)</f>
        <v>0</v>
      </c>
      <c r="BN306" s="40">
        <f>IF(OR(W305=4,W305=8,W305=12,W305=16,W305=20),$CA$1,0)</f>
        <v>0</v>
      </c>
      <c r="BO306" s="40">
        <f>IF(OR(X305=4,X305=8,X305=12,X305=16,X305=20),$CA$1,0)</f>
        <v>0</v>
      </c>
      <c r="BP306" s="40">
        <f>IF(OR(Y305=4,Y305=8,Y305=12,Y305=16,Y305=20),$CA$1,0)</f>
        <v>0</v>
      </c>
      <c r="BQ306" s="40">
        <f>IF(OR(Z305=4,Z305=8,Z305=12,Z305=16,Z305=20),$CA$1,0)</f>
        <v>0</v>
      </c>
      <c r="BR306" s="40">
        <f>IF(OR(AA305=4,AA305=8,AA305=12,AA305=16,AA305=20),$CA$1,0)</f>
        <v>0</v>
      </c>
      <c r="BS306" s="40">
        <f>IF(V302=20,$CB$1,0)</f>
        <v>0</v>
      </c>
      <c r="BT306" s="40">
        <f>IF(W302=20,$CB$1,0)</f>
        <v>0</v>
      </c>
      <c r="BU306" s="40">
        <f>IF(X302=20,$CB$1,0)</f>
        <v>0</v>
      </c>
      <c r="BV306" s="40">
        <f>IF(Y302=20,$CB$1,0)</f>
        <v>0</v>
      </c>
      <c r="BW306" s="40">
        <f>IF(Z302=20,$CB$1,0)</f>
        <v>0</v>
      </c>
      <c r="BX306" s="40">
        <f>IF(AA302=20,$CB$1,0)</f>
        <v>0</v>
      </c>
      <c r="BY306" s="41">
        <f t="shared" si="139"/>
        <v>0</v>
      </c>
      <c r="BZ306" s="41">
        <f t="shared" si="140"/>
        <v>0</v>
      </c>
      <c r="CA306" s="58">
        <f t="shared" si="162"/>
        <v>45215</v>
      </c>
      <c r="CB306" s="47">
        <f t="shared" si="141"/>
        <v>0</v>
      </c>
    </row>
    <row r="307" spans="2:80" ht="15" hidden="1" outlineLevel="1" x14ac:dyDescent="0.2">
      <c r="B307" s="18">
        <f t="shared" si="134"/>
        <v>45222</v>
      </c>
      <c r="C307" s="17" t="s">
        <v>1</v>
      </c>
      <c r="D307" s="19">
        <f t="shared" si="135"/>
        <v>45228</v>
      </c>
      <c r="E307" s="20">
        <f t="shared" si="136"/>
        <v>10</v>
      </c>
      <c r="F307" s="21">
        <f t="shared" si="137"/>
        <v>2023</v>
      </c>
      <c r="G307" s="11">
        <f t="shared" si="161"/>
        <v>22</v>
      </c>
      <c r="H307" s="10">
        <f t="shared" si="161"/>
        <v>66</v>
      </c>
      <c r="I307" s="11"/>
      <c r="J307" s="11"/>
      <c r="K307" s="11"/>
      <c r="L307" s="11"/>
      <c r="M307" s="11"/>
      <c r="N307" s="11"/>
      <c r="O307" s="14"/>
      <c r="P307" s="14"/>
      <c r="Q307" s="14"/>
      <c r="R307" s="14"/>
      <c r="S307" s="14"/>
      <c r="T307" s="14"/>
      <c r="V307" s="22">
        <f t="shared" si="160"/>
        <v>0</v>
      </c>
      <c r="W307" s="22">
        <f t="shared" si="160"/>
        <v>0</v>
      </c>
      <c r="X307" s="22">
        <f t="shared" si="160"/>
        <v>0</v>
      </c>
      <c r="Y307" s="22">
        <f t="shared" si="160"/>
        <v>0</v>
      </c>
      <c r="Z307" s="22">
        <f t="shared" si="160"/>
        <v>0</v>
      </c>
      <c r="AA307" s="22">
        <f t="shared" si="160"/>
        <v>0</v>
      </c>
      <c r="AB307" s="1"/>
      <c r="AC307" s="5">
        <f t="shared" si="144"/>
        <v>0</v>
      </c>
      <c r="AD307" s="5">
        <f t="shared" si="145"/>
        <v>0</v>
      </c>
      <c r="AE307" s="5">
        <f t="shared" si="146"/>
        <v>0</v>
      </c>
      <c r="AF307" s="5">
        <f t="shared" si="147"/>
        <v>0</v>
      </c>
      <c r="AG307" s="5">
        <f t="shared" si="148"/>
        <v>0</v>
      </c>
      <c r="AH307" s="5">
        <f t="shared" si="149"/>
        <v>0</v>
      </c>
      <c r="AI307" s="5">
        <f t="shared" si="150"/>
        <v>0</v>
      </c>
      <c r="AJ307" s="5">
        <f t="shared" si="151"/>
        <v>0</v>
      </c>
      <c r="AK307" s="5">
        <f t="shared" si="152"/>
        <v>0</v>
      </c>
      <c r="AL307" s="5">
        <f t="shared" si="153"/>
        <v>0</v>
      </c>
      <c r="AM307" s="5">
        <f t="shared" si="154"/>
        <v>0</v>
      </c>
      <c r="AN307" s="5">
        <f t="shared" si="155"/>
        <v>0</v>
      </c>
      <c r="AO307" s="5">
        <f t="shared" si="156"/>
        <v>0</v>
      </c>
      <c r="AP307" s="5">
        <f t="shared" si="157"/>
        <v>0</v>
      </c>
      <c r="AQ307" s="5">
        <f t="shared" si="158"/>
        <v>0</v>
      </c>
      <c r="AR307" s="5">
        <f t="shared" si="159"/>
        <v>0</v>
      </c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M307" s="40">
        <f>IF(OR(V306=4,V306=8,V306=12,V306=16,V306=20),$CA$1,0)</f>
        <v>0</v>
      </c>
      <c r="BN307" s="40">
        <f>IF(OR(W306=4,W306=8,W306=12,W306=16,W306=20),$CA$1,0)</f>
        <v>0</v>
      </c>
      <c r="BO307" s="40">
        <f>IF(OR(X306=4,X306=8,X306=12,X306=16,X306=20),$CA$1,0)</f>
        <v>0</v>
      </c>
      <c r="BP307" s="40">
        <f>IF(OR(Y306=4,Y306=8,Y306=12,Y306=16,Y306=20),$CA$1,0)</f>
        <v>0</v>
      </c>
      <c r="BQ307" s="40">
        <f>IF(OR(Z306=4,Z306=8,Z306=12,Z306=16,Z306=20),$CA$1,0)</f>
        <v>0</v>
      </c>
      <c r="BR307" s="40">
        <f>IF(OR(AA306=4,AA306=8,AA306=12,AA306=16,AA306=20),$CA$1,0)</f>
        <v>0</v>
      </c>
      <c r="BS307" s="40">
        <f>IF(V303=20,$CB$1,0)</f>
        <v>0</v>
      </c>
      <c r="BT307" s="40">
        <f>IF(W303=20,$CB$1,0)</f>
        <v>0</v>
      </c>
      <c r="BU307" s="40">
        <f>IF(X303=20,$CB$1,0)</f>
        <v>0</v>
      </c>
      <c r="BV307" s="40">
        <f>IF(Y303=20,$CB$1,0)</f>
        <v>0</v>
      </c>
      <c r="BW307" s="40">
        <f>IF(Z303=20,$CB$1,0)</f>
        <v>0</v>
      </c>
      <c r="BX307" s="40">
        <f>IF(AA303=20,$CB$1,0)</f>
        <v>0</v>
      </c>
      <c r="BY307" s="41">
        <f t="shared" si="139"/>
        <v>0</v>
      </c>
      <c r="BZ307" s="41">
        <f t="shared" si="140"/>
        <v>0</v>
      </c>
      <c r="CA307" s="58">
        <f t="shared" si="162"/>
        <v>45222</v>
      </c>
      <c r="CB307" s="47">
        <f t="shared" si="141"/>
        <v>0</v>
      </c>
    </row>
    <row r="308" spans="2:80" ht="15" hidden="1" outlineLevel="1" x14ac:dyDescent="0.2">
      <c r="B308" s="18">
        <f t="shared" si="134"/>
        <v>45229</v>
      </c>
      <c r="C308" s="17" t="s">
        <v>1</v>
      </c>
      <c r="D308" s="19">
        <f t="shared" si="135"/>
        <v>45235</v>
      </c>
      <c r="E308" s="20">
        <f t="shared" si="136"/>
        <v>10</v>
      </c>
      <c r="F308" s="21">
        <f t="shared" si="137"/>
        <v>2023</v>
      </c>
      <c r="G308" s="11">
        <f t="shared" si="161"/>
        <v>22</v>
      </c>
      <c r="H308" s="10">
        <f t="shared" si="161"/>
        <v>66</v>
      </c>
      <c r="I308" s="11"/>
      <c r="J308" s="11"/>
      <c r="K308" s="11"/>
      <c r="L308" s="11"/>
      <c r="M308" s="11"/>
      <c r="N308" s="11"/>
      <c r="O308" s="14"/>
      <c r="P308" s="14"/>
      <c r="Q308" s="14"/>
      <c r="R308" s="14"/>
      <c r="S308" s="14"/>
      <c r="T308" s="14"/>
      <c r="V308" s="22">
        <f t="shared" ref="V308:AA323" si="163">IF(I308&gt;0,I308,IF(O308=1,$B308+2,IF(O307=1,1,IF(O307=2,0,IF(V307=$G307,0,(IF(V307&gt;=1,V307+1,0)))))))</f>
        <v>0</v>
      </c>
      <c r="W308" s="22">
        <f t="shared" si="163"/>
        <v>0</v>
      </c>
      <c r="X308" s="22">
        <f t="shared" si="163"/>
        <v>0</v>
      </c>
      <c r="Y308" s="22">
        <f t="shared" si="163"/>
        <v>0</v>
      </c>
      <c r="Z308" s="22">
        <f t="shared" si="163"/>
        <v>0</v>
      </c>
      <c r="AA308" s="22">
        <f t="shared" si="163"/>
        <v>0</v>
      </c>
      <c r="AB308" s="1"/>
      <c r="AC308" s="5">
        <f t="shared" si="144"/>
        <v>0</v>
      </c>
      <c r="AD308" s="5">
        <f t="shared" si="145"/>
        <v>0</v>
      </c>
      <c r="AE308" s="5">
        <f t="shared" si="146"/>
        <v>0</v>
      </c>
      <c r="AF308" s="5">
        <f t="shared" si="147"/>
        <v>0</v>
      </c>
      <c r="AG308" s="5">
        <f t="shared" si="148"/>
        <v>0</v>
      </c>
      <c r="AH308" s="5">
        <f t="shared" si="149"/>
        <v>0</v>
      </c>
      <c r="AI308" s="5">
        <f t="shared" si="150"/>
        <v>0</v>
      </c>
      <c r="AJ308" s="5">
        <f t="shared" si="151"/>
        <v>0</v>
      </c>
      <c r="AK308" s="5">
        <f t="shared" si="152"/>
        <v>0</v>
      </c>
      <c r="AL308" s="5">
        <f t="shared" si="153"/>
        <v>0</v>
      </c>
      <c r="AM308" s="5">
        <f t="shared" si="154"/>
        <v>0</v>
      </c>
      <c r="AN308" s="5">
        <f t="shared" si="155"/>
        <v>0</v>
      </c>
      <c r="AO308" s="5">
        <f t="shared" si="156"/>
        <v>0</v>
      </c>
      <c r="AP308" s="5">
        <f t="shared" si="157"/>
        <v>0</v>
      </c>
      <c r="AQ308" s="5">
        <f t="shared" si="158"/>
        <v>0</v>
      </c>
      <c r="AR308" s="5">
        <f t="shared" si="159"/>
        <v>0</v>
      </c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M308" s="40">
        <f>IF(OR(V307=4,V307=8,V307=12,V307=16,V307=20),$CA$1,0)</f>
        <v>0</v>
      </c>
      <c r="BN308" s="40">
        <f>IF(OR(W307=4,W307=8,W307=12,W307=16,W307=20),$CA$1,0)</f>
        <v>0</v>
      </c>
      <c r="BO308" s="40">
        <f>IF(OR(X307=4,X307=8,X307=12,X307=16,X307=20),$CA$1,0)</f>
        <v>0</v>
      </c>
      <c r="BP308" s="40">
        <f>IF(OR(Y307=4,Y307=8,Y307=12,Y307=16,Y307=20),$CA$1,0)</f>
        <v>0</v>
      </c>
      <c r="BQ308" s="40">
        <f>IF(OR(Z307=4,Z307=8,Z307=12,Z307=16,Z307=20),$CA$1,0)</f>
        <v>0</v>
      </c>
      <c r="BR308" s="40">
        <f>IF(OR(AA307=4,AA307=8,AA307=12,AA307=16,AA307=20),$CA$1,0)</f>
        <v>0</v>
      </c>
      <c r="BS308" s="40">
        <f>IF(V304=20,$CB$1,0)</f>
        <v>0</v>
      </c>
      <c r="BT308" s="40">
        <f>IF(W304=20,$CB$1,0)</f>
        <v>0</v>
      </c>
      <c r="BU308" s="40">
        <f>IF(X304=20,$CB$1,0)</f>
        <v>0</v>
      </c>
      <c r="BV308" s="40">
        <f>IF(Y304=20,$CB$1,0)</f>
        <v>0</v>
      </c>
      <c r="BW308" s="40">
        <f>IF(Z304=20,$CB$1,0)</f>
        <v>0</v>
      </c>
      <c r="BX308" s="40">
        <f>IF(AA304=20,$CB$1,0)</f>
        <v>0</v>
      </c>
      <c r="BY308" s="41">
        <f t="shared" si="139"/>
        <v>0</v>
      </c>
      <c r="BZ308" s="41">
        <f t="shared" si="140"/>
        <v>0</v>
      </c>
      <c r="CA308" s="58">
        <f t="shared" si="162"/>
        <v>45229</v>
      </c>
      <c r="CB308" s="47">
        <f t="shared" si="141"/>
        <v>0</v>
      </c>
    </row>
    <row r="309" spans="2:80" ht="15" hidden="1" outlineLevel="1" x14ac:dyDescent="0.2">
      <c r="B309" s="18">
        <f t="shared" si="134"/>
        <v>45236</v>
      </c>
      <c r="C309" s="17" t="s">
        <v>1</v>
      </c>
      <c r="D309" s="19">
        <f t="shared" si="135"/>
        <v>45242</v>
      </c>
      <c r="E309" s="20">
        <f t="shared" si="136"/>
        <v>11</v>
      </c>
      <c r="F309" s="21">
        <f t="shared" si="137"/>
        <v>2023</v>
      </c>
      <c r="G309" s="11">
        <f t="shared" si="161"/>
        <v>22</v>
      </c>
      <c r="H309" s="10">
        <f t="shared" si="161"/>
        <v>66</v>
      </c>
      <c r="I309" s="11"/>
      <c r="J309" s="11"/>
      <c r="K309" s="11"/>
      <c r="L309" s="11"/>
      <c r="M309" s="11"/>
      <c r="N309" s="11"/>
      <c r="O309" s="14"/>
      <c r="P309" s="14"/>
      <c r="Q309" s="14"/>
      <c r="R309" s="14"/>
      <c r="S309" s="14"/>
      <c r="T309" s="14"/>
      <c r="V309" s="22">
        <f t="shared" si="163"/>
        <v>0</v>
      </c>
      <c r="W309" s="22">
        <f t="shared" si="163"/>
        <v>0</v>
      </c>
      <c r="X309" s="22">
        <f t="shared" si="163"/>
        <v>0</v>
      </c>
      <c r="Y309" s="22">
        <f t="shared" si="163"/>
        <v>0</v>
      </c>
      <c r="Z309" s="22">
        <f t="shared" si="163"/>
        <v>0</v>
      </c>
      <c r="AA309" s="22">
        <f t="shared" si="163"/>
        <v>0</v>
      </c>
      <c r="AB309" s="1"/>
      <c r="AC309" s="5">
        <f t="shared" si="144"/>
        <v>0</v>
      </c>
      <c r="AD309" s="5">
        <f t="shared" si="145"/>
        <v>0</v>
      </c>
      <c r="AE309" s="5">
        <f t="shared" si="146"/>
        <v>0</v>
      </c>
      <c r="AF309" s="5">
        <f t="shared" si="147"/>
        <v>0</v>
      </c>
      <c r="AG309" s="5">
        <f t="shared" si="148"/>
        <v>0</v>
      </c>
      <c r="AH309" s="5">
        <f t="shared" si="149"/>
        <v>0</v>
      </c>
      <c r="AI309" s="5">
        <f t="shared" si="150"/>
        <v>0</v>
      </c>
      <c r="AJ309" s="5">
        <f t="shared" si="151"/>
        <v>0</v>
      </c>
      <c r="AK309" s="5">
        <f t="shared" si="152"/>
        <v>0</v>
      </c>
      <c r="AL309" s="5">
        <f t="shared" si="153"/>
        <v>0</v>
      </c>
      <c r="AM309" s="5">
        <f t="shared" si="154"/>
        <v>0</v>
      </c>
      <c r="AN309" s="5">
        <f t="shared" si="155"/>
        <v>0</v>
      </c>
      <c r="AO309" s="5">
        <f t="shared" si="156"/>
        <v>0</v>
      </c>
      <c r="AP309" s="5">
        <f t="shared" si="157"/>
        <v>0</v>
      </c>
      <c r="AQ309" s="5">
        <f t="shared" si="158"/>
        <v>0</v>
      </c>
      <c r="AR309" s="5">
        <f t="shared" si="159"/>
        <v>0</v>
      </c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M309" s="40">
        <f>IF(OR(V308=4,V308=8,V308=12,V308=16,V308=20),$CA$1,0)</f>
        <v>0</v>
      </c>
      <c r="BN309" s="40">
        <f>IF(OR(W308=4,W308=8,W308=12,W308=16,W308=20),$CA$1,0)</f>
        <v>0</v>
      </c>
      <c r="BO309" s="40">
        <f>IF(OR(X308=4,X308=8,X308=12,X308=16,X308=20),$CA$1,0)</f>
        <v>0</v>
      </c>
      <c r="BP309" s="40">
        <f>IF(OR(Y308=4,Y308=8,Y308=12,Y308=16,Y308=20),$CA$1,0)</f>
        <v>0</v>
      </c>
      <c r="BQ309" s="40">
        <f>IF(OR(Z308=4,Z308=8,Z308=12,Z308=16,Z308=20),$CA$1,0)</f>
        <v>0</v>
      </c>
      <c r="BR309" s="40">
        <f>IF(OR(AA308=4,AA308=8,AA308=12,AA308=16,AA308=20),$CA$1,0)</f>
        <v>0</v>
      </c>
      <c r="BS309" s="40">
        <f>IF(V305=20,$CB$1,0)</f>
        <v>0</v>
      </c>
      <c r="BT309" s="40">
        <f>IF(W305=20,$CB$1,0)</f>
        <v>0</v>
      </c>
      <c r="BU309" s="40">
        <f>IF(X305=20,$CB$1,0)</f>
        <v>0</v>
      </c>
      <c r="BV309" s="40">
        <f>IF(Y305=20,$CB$1,0)</f>
        <v>0</v>
      </c>
      <c r="BW309" s="40">
        <f>IF(Z305=20,$CB$1,0)</f>
        <v>0</v>
      </c>
      <c r="BX309" s="40">
        <f>IF(AA305=20,$CB$1,0)</f>
        <v>0</v>
      </c>
      <c r="BY309" s="41">
        <f t="shared" si="139"/>
        <v>0</v>
      </c>
      <c r="BZ309" s="41">
        <f t="shared" si="140"/>
        <v>0</v>
      </c>
      <c r="CA309" s="58">
        <f t="shared" si="162"/>
        <v>45236</v>
      </c>
      <c r="CB309" s="47">
        <f t="shared" si="141"/>
        <v>0</v>
      </c>
    </row>
    <row r="310" spans="2:80" ht="15" hidden="1" outlineLevel="1" x14ac:dyDescent="0.2">
      <c r="B310" s="18">
        <f t="shared" si="134"/>
        <v>45243</v>
      </c>
      <c r="C310" s="17" t="s">
        <v>1</v>
      </c>
      <c r="D310" s="19">
        <f t="shared" si="135"/>
        <v>45249</v>
      </c>
      <c r="E310" s="20">
        <f t="shared" si="136"/>
        <v>11</v>
      </c>
      <c r="F310" s="21">
        <f t="shared" si="137"/>
        <v>2023</v>
      </c>
      <c r="G310" s="11">
        <f t="shared" ref="G310:H325" si="164">G309</f>
        <v>22</v>
      </c>
      <c r="H310" s="10">
        <f t="shared" si="164"/>
        <v>66</v>
      </c>
      <c r="I310" s="11"/>
      <c r="J310" s="11"/>
      <c r="K310" s="11"/>
      <c r="L310" s="11"/>
      <c r="M310" s="11"/>
      <c r="N310" s="11"/>
      <c r="O310" s="14"/>
      <c r="P310" s="14"/>
      <c r="Q310" s="14"/>
      <c r="R310" s="14"/>
      <c r="S310" s="14"/>
      <c r="T310" s="14"/>
      <c r="V310" s="22">
        <f t="shared" si="163"/>
        <v>0</v>
      </c>
      <c r="W310" s="22">
        <f t="shared" si="163"/>
        <v>0</v>
      </c>
      <c r="X310" s="22">
        <f t="shared" si="163"/>
        <v>0</v>
      </c>
      <c r="Y310" s="22">
        <f t="shared" si="163"/>
        <v>0</v>
      </c>
      <c r="Z310" s="22">
        <f t="shared" si="163"/>
        <v>0</v>
      </c>
      <c r="AA310" s="22">
        <f t="shared" si="163"/>
        <v>0</v>
      </c>
      <c r="AB310" s="1"/>
      <c r="AC310" s="5">
        <f t="shared" si="144"/>
        <v>0</v>
      </c>
      <c r="AD310" s="5">
        <f t="shared" si="145"/>
        <v>0</v>
      </c>
      <c r="AE310" s="5">
        <f t="shared" si="146"/>
        <v>0</v>
      </c>
      <c r="AF310" s="5">
        <f t="shared" si="147"/>
        <v>0</v>
      </c>
      <c r="AG310" s="5">
        <f t="shared" si="148"/>
        <v>0</v>
      </c>
      <c r="AH310" s="5">
        <f t="shared" si="149"/>
        <v>0</v>
      </c>
      <c r="AI310" s="5">
        <f t="shared" si="150"/>
        <v>0</v>
      </c>
      <c r="AJ310" s="5">
        <f t="shared" si="151"/>
        <v>0</v>
      </c>
      <c r="AK310" s="5">
        <f t="shared" si="152"/>
        <v>0</v>
      </c>
      <c r="AL310" s="5">
        <f t="shared" si="153"/>
        <v>0</v>
      </c>
      <c r="AM310" s="5">
        <f t="shared" si="154"/>
        <v>0</v>
      </c>
      <c r="AN310" s="5">
        <f t="shared" si="155"/>
        <v>0</v>
      </c>
      <c r="AO310" s="5">
        <f t="shared" si="156"/>
        <v>0</v>
      </c>
      <c r="AP310" s="5">
        <f t="shared" si="157"/>
        <v>0</v>
      </c>
      <c r="AQ310" s="5">
        <f t="shared" si="158"/>
        <v>0</v>
      </c>
      <c r="AR310" s="5">
        <f t="shared" si="159"/>
        <v>0</v>
      </c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M310" s="40">
        <f>IF(OR(V309=4,V309=8,V309=12,V309=16,V309=20),$CA$1,0)</f>
        <v>0</v>
      </c>
      <c r="BN310" s="40">
        <f>IF(OR(W309=4,W309=8,W309=12,W309=16,W309=20),$CA$1,0)</f>
        <v>0</v>
      </c>
      <c r="BO310" s="40">
        <f>IF(OR(X309=4,X309=8,X309=12,X309=16,X309=20),$CA$1,0)</f>
        <v>0</v>
      </c>
      <c r="BP310" s="40">
        <f>IF(OR(Y309=4,Y309=8,Y309=12,Y309=16,Y309=20),$CA$1,0)</f>
        <v>0</v>
      </c>
      <c r="BQ310" s="40">
        <f>IF(OR(Z309=4,Z309=8,Z309=12,Z309=16,Z309=20),$CA$1,0)</f>
        <v>0</v>
      </c>
      <c r="BR310" s="40">
        <f>IF(OR(AA309=4,AA309=8,AA309=12,AA309=16,AA309=20),$CA$1,0)</f>
        <v>0</v>
      </c>
      <c r="BS310" s="40">
        <f>IF(V306=20,$CB$1,0)</f>
        <v>0</v>
      </c>
      <c r="BT310" s="40">
        <f>IF(W306=20,$CB$1,0)</f>
        <v>0</v>
      </c>
      <c r="BU310" s="40">
        <f>IF(X306=20,$CB$1,0)</f>
        <v>0</v>
      </c>
      <c r="BV310" s="40">
        <f>IF(Y306=20,$CB$1,0)</f>
        <v>0</v>
      </c>
      <c r="BW310" s="40">
        <f>IF(Z306=20,$CB$1,0)</f>
        <v>0</v>
      </c>
      <c r="BX310" s="40">
        <f>IF(AA306=20,$CB$1,0)</f>
        <v>0</v>
      </c>
      <c r="BY310" s="41">
        <f t="shared" si="139"/>
        <v>0</v>
      </c>
      <c r="BZ310" s="41">
        <f t="shared" si="140"/>
        <v>0</v>
      </c>
      <c r="CA310" s="58">
        <f t="shared" si="162"/>
        <v>45243</v>
      </c>
      <c r="CB310" s="47">
        <f t="shared" si="141"/>
        <v>0</v>
      </c>
    </row>
    <row r="311" spans="2:80" ht="15" hidden="1" outlineLevel="1" x14ac:dyDescent="0.2">
      <c r="B311" s="18">
        <f t="shared" si="134"/>
        <v>45250</v>
      </c>
      <c r="C311" s="17" t="s">
        <v>1</v>
      </c>
      <c r="D311" s="19">
        <f t="shared" si="135"/>
        <v>45256</v>
      </c>
      <c r="E311" s="20">
        <f t="shared" si="136"/>
        <v>11</v>
      </c>
      <c r="F311" s="21">
        <f t="shared" si="137"/>
        <v>2023</v>
      </c>
      <c r="G311" s="11">
        <f t="shared" si="164"/>
        <v>22</v>
      </c>
      <c r="H311" s="10">
        <f t="shared" si="164"/>
        <v>66</v>
      </c>
      <c r="I311" s="11"/>
      <c r="J311" s="11"/>
      <c r="K311" s="11"/>
      <c r="L311" s="11"/>
      <c r="M311" s="11"/>
      <c r="N311" s="11"/>
      <c r="O311" s="14"/>
      <c r="P311" s="14"/>
      <c r="Q311" s="14"/>
      <c r="R311" s="14"/>
      <c r="S311" s="14"/>
      <c r="T311" s="14"/>
      <c r="V311" s="22">
        <f t="shared" si="163"/>
        <v>0</v>
      </c>
      <c r="W311" s="22">
        <f t="shared" si="163"/>
        <v>0</v>
      </c>
      <c r="X311" s="22">
        <f t="shared" si="163"/>
        <v>0</v>
      </c>
      <c r="Y311" s="22">
        <f t="shared" si="163"/>
        <v>0</v>
      </c>
      <c r="Z311" s="22">
        <f t="shared" si="163"/>
        <v>0</v>
      </c>
      <c r="AA311" s="22">
        <f t="shared" si="163"/>
        <v>0</v>
      </c>
      <c r="AB311" s="1"/>
      <c r="AC311" s="5">
        <f t="shared" si="144"/>
        <v>0</v>
      </c>
      <c r="AD311" s="5">
        <f t="shared" si="145"/>
        <v>0</v>
      </c>
      <c r="AE311" s="5">
        <f t="shared" si="146"/>
        <v>0</v>
      </c>
      <c r="AF311" s="5">
        <f t="shared" si="147"/>
        <v>0</v>
      </c>
      <c r="AG311" s="5">
        <f t="shared" si="148"/>
        <v>0</v>
      </c>
      <c r="AH311" s="5">
        <f t="shared" si="149"/>
        <v>0</v>
      </c>
      <c r="AI311" s="5">
        <f t="shared" si="150"/>
        <v>0</v>
      </c>
      <c r="AJ311" s="5">
        <f t="shared" si="151"/>
        <v>0</v>
      </c>
      <c r="AK311" s="5">
        <f t="shared" si="152"/>
        <v>0</v>
      </c>
      <c r="AL311" s="5">
        <f t="shared" si="153"/>
        <v>0</v>
      </c>
      <c r="AM311" s="5">
        <f t="shared" si="154"/>
        <v>0</v>
      </c>
      <c r="AN311" s="5">
        <f t="shared" si="155"/>
        <v>0</v>
      </c>
      <c r="AO311" s="5">
        <f t="shared" si="156"/>
        <v>0</v>
      </c>
      <c r="AP311" s="5">
        <f t="shared" si="157"/>
        <v>0</v>
      </c>
      <c r="AQ311" s="5">
        <f t="shared" si="158"/>
        <v>0</v>
      </c>
      <c r="AR311" s="5">
        <f t="shared" si="159"/>
        <v>0</v>
      </c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M311" s="40">
        <f>IF(OR(V310=4,V310=8,V310=12,V310=16,V310=20),$CA$1,0)</f>
        <v>0</v>
      </c>
      <c r="BN311" s="40">
        <f>IF(OR(W310=4,W310=8,W310=12,W310=16,W310=20),$CA$1,0)</f>
        <v>0</v>
      </c>
      <c r="BO311" s="40">
        <f>IF(OR(X310=4,X310=8,X310=12,X310=16,X310=20),$CA$1,0)</f>
        <v>0</v>
      </c>
      <c r="BP311" s="40">
        <f>IF(OR(Y310=4,Y310=8,Y310=12,Y310=16,Y310=20),$CA$1,0)</f>
        <v>0</v>
      </c>
      <c r="BQ311" s="40">
        <f>IF(OR(Z310=4,Z310=8,Z310=12,Z310=16,Z310=20),$CA$1,0)</f>
        <v>0</v>
      </c>
      <c r="BR311" s="40">
        <f>IF(OR(AA310=4,AA310=8,AA310=12,AA310=16,AA310=20),$CA$1,0)</f>
        <v>0</v>
      </c>
      <c r="BS311" s="40">
        <f>IF(V307=20,$CB$1,0)</f>
        <v>0</v>
      </c>
      <c r="BT311" s="40">
        <f>IF(W307=20,$CB$1,0)</f>
        <v>0</v>
      </c>
      <c r="BU311" s="40">
        <f>IF(X307=20,$CB$1,0)</f>
        <v>0</v>
      </c>
      <c r="BV311" s="40">
        <f>IF(Y307=20,$CB$1,0)</f>
        <v>0</v>
      </c>
      <c r="BW311" s="40">
        <f>IF(Z307=20,$CB$1,0)</f>
        <v>0</v>
      </c>
      <c r="BX311" s="40">
        <f>IF(AA307=20,$CB$1,0)</f>
        <v>0</v>
      </c>
      <c r="BY311" s="41">
        <f t="shared" si="139"/>
        <v>0</v>
      </c>
      <c r="BZ311" s="41">
        <f t="shared" si="140"/>
        <v>0</v>
      </c>
      <c r="CA311" s="58">
        <f t="shared" si="162"/>
        <v>45250</v>
      </c>
      <c r="CB311" s="47">
        <f t="shared" si="141"/>
        <v>0</v>
      </c>
    </row>
    <row r="312" spans="2:80" ht="15" hidden="1" outlineLevel="1" x14ac:dyDescent="0.2">
      <c r="B312" s="18">
        <f t="shared" si="134"/>
        <v>45257</v>
      </c>
      <c r="C312" s="17" t="s">
        <v>1</v>
      </c>
      <c r="D312" s="19">
        <f t="shared" si="135"/>
        <v>45263</v>
      </c>
      <c r="E312" s="20">
        <f t="shared" si="136"/>
        <v>11</v>
      </c>
      <c r="F312" s="21">
        <f t="shared" si="137"/>
        <v>2023</v>
      </c>
      <c r="G312" s="11">
        <f t="shared" si="164"/>
        <v>22</v>
      </c>
      <c r="H312" s="10">
        <f t="shared" si="164"/>
        <v>66</v>
      </c>
      <c r="I312" s="11"/>
      <c r="J312" s="11"/>
      <c r="K312" s="11"/>
      <c r="L312" s="11"/>
      <c r="M312" s="11"/>
      <c r="N312" s="11"/>
      <c r="O312" s="14"/>
      <c r="P312" s="14"/>
      <c r="Q312" s="14"/>
      <c r="R312" s="14"/>
      <c r="S312" s="14"/>
      <c r="T312" s="14"/>
      <c r="V312" s="22">
        <f t="shared" si="163"/>
        <v>0</v>
      </c>
      <c r="W312" s="22">
        <f t="shared" si="163"/>
        <v>0</v>
      </c>
      <c r="X312" s="22">
        <f t="shared" si="163"/>
        <v>0</v>
      </c>
      <c r="Y312" s="22">
        <f t="shared" si="163"/>
        <v>0</v>
      </c>
      <c r="Z312" s="22">
        <f t="shared" si="163"/>
        <v>0</v>
      </c>
      <c r="AA312" s="22">
        <f t="shared" si="163"/>
        <v>0</v>
      </c>
      <c r="AB312" s="1"/>
      <c r="AC312" s="5">
        <f t="shared" si="144"/>
        <v>0</v>
      </c>
      <c r="AD312" s="5">
        <f t="shared" si="145"/>
        <v>0</v>
      </c>
      <c r="AE312" s="5">
        <f t="shared" si="146"/>
        <v>0</v>
      </c>
      <c r="AF312" s="5">
        <f t="shared" si="147"/>
        <v>0</v>
      </c>
      <c r="AG312" s="5">
        <f t="shared" si="148"/>
        <v>0</v>
      </c>
      <c r="AH312" s="5">
        <f t="shared" si="149"/>
        <v>0</v>
      </c>
      <c r="AI312" s="5">
        <f t="shared" si="150"/>
        <v>0</v>
      </c>
      <c r="AJ312" s="5">
        <f t="shared" si="151"/>
        <v>0</v>
      </c>
      <c r="AK312" s="5">
        <f t="shared" si="152"/>
        <v>0</v>
      </c>
      <c r="AL312" s="5">
        <f t="shared" si="153"/>
        <v>0</v>
      </c>
      <c r="AM312" s="5">
        <f t="shared" si="154"/>
        <v>0</v>
      </c>
      <c r="AN312" s="5">
        <f t="shared" si="155"/>
        <v>0</v>
      </c>
      <c r="AO312" s="5">
        <f t="shared" si="156"/>
        <v>0</v>
      </c>
      <c r="AP312" s="5">
        <f t="shared" si="157"/>
        <v>0</v>
      </c>
      <c r="AQ312" s="5">
        <f t="shared" si="158"/>
        <v>0</v>
      </c>
      <c r="AR312" s="5">
        <f t="shared" si="159"/>
        <v>0</v>
      </c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M312" s="40">
        <f>IF(OR(V311=4,V311=8,V311=12,V311=16,V311=20),$CA$1,0)</f>
        <v>0</v>
      </c>
      <c r="BN312" s="40">
        <f>IF(OR(W311=4,W311=8,W311=12,W311=16,W311=20),$CA$1,0)</f>
        <v>0</v>
      </c>
      <c r="BO312" s="40">
        <f>IF(OR(X311=4,X311=8,X311=12,X311=16,X311=20),$CA$1,0)</f>
        <v>0</v>
      </c>
      <c r="BP312" s="40">
        <f>IF(OR(Y311=4,Y311=8,Y311=12,Y311=16,Y311=20),$CA$1,0)</f>
        <v>0</v>
      </c>
      <c r="BQ312" s="40">
        <f>IF(OR(Z311=4,Z311=8,Z311=12,Z311=16,Z311=20),$CA$1,0)</f>
        <v>0</v>
      </c>
      <c r="BR312" s="40">
        <f>IF(OR(AA311=4,AA311=8,AA311=12,AA311=16,AA311=20),$CA$1,0)</f>
        <v>0</v>
      </c>
      <c r="BS312" s="40">
        <f>IF(V308=20,$CB$1,0)</f>
        <v>0</v>
      </c>
      <c r="BT312" s="40">
        <f>IF(W308=20,$CB$1,0)</f>
        <v>0</v>
      </c>
      <c r="BU312" s="40">
        <f>IF(X308=20,$CB$1,0)</f>
        <v>0</v>
      </c>
      <c r="BV312" s="40">
        <f>IF(Y308=20,$CB$1,0)</f>
        <v>0</v>
      </c>
      <c r="BW312" s="40">
        <f>IF(Z308=20,$CB$1,0)</f>
        <v>0</v>
      </c>
      <c r="BX312" s="40">
        <f>IF(AA308=20,$CB$1,0)</f>
        <v>0</v>
      </c>
      <c r="BY312" s="41">
        <f t="shared" si="139"/>
        <v>0</v>
      </c>
      <c r="BZ312" s="41">
        <f t="shared" si="140"/>
        <v>0</v>
      </c>
      <c r="CA312" s="58">
        <f t="shared" si="162"/>
        <v>45257</v>
      </c>
      <c r="CB312" s="47">
        <f t="shared" si="141"/>
        <v>0</v>
      </c>
    </row>
    <row r="313" spans="2:80" ht="15" hidden="1" outlineLevel="1" x14ac:dyDescent="0.2">
      <c r="B313" s="18">
        <f t="shared" si="134"/>
        <v>45264</v>
      </c>
      <c r="C313" s="17" t="s">
        <v>1</v>
      </c>
      <c r="D313" s="19">
        <f t="shared" si="135"/>
        <v>45270</v>
      </c>
      <c r="E313" s="20">
        <f t="shared" si="136"/>
        <v>12</v>
      </c>
      <c r="F313" s="21">
        <f t="shared" si="137"/>
        <v>2023</v>
      </c>
      <c r="G313" s="11">
        <f t="shared" si="164"/>
        <v>22</v>
      </c>
      <c r="H313" s="10">
        <f t="shared" si="164"/>
        <v>66</v>
      </c>
      <c r="I313" s="11"/>
      <c r="J313" s="11"/>
      <c r="K313" s="11"/>
      <c r="L313" s="11"/>
      <c r="M313" s="11"/>
      <c r="N313" s="11"/>
      <c r="O313" s="14"/>
      <c r="P313" s="14"/>
      <c r="Q313" s="14"/>
      <c r="R313" s="14"/>
      <c r="S313" s="14"/>
      <c r="T313" s="14"/>
      <c r="V313" s="22">
        <f t="shared" si="163"/>
        <v>0</v>
      </c>
      <c r="W313" s="22">
        <f t="shared" si="163"/>
        <v>0</v>
      </c>
      <c r="X313" s="22">
        <f t="shared" si="163"/>
        <v>0</v>
      </c>
      <c r="Y313" s="22">
        <f t="shared" si="163"/>
        <v>0</v>
      </c>
      <c r="Z313" s="22">
        <f t="shared" si="163"/>
        <v>0</v>
      </c>
      <c r="AA313" s="22">
        <f t="shared" si="163"/>
        <v>0</v>
      </c>
      <c r="AB313" s="1"/>
      <c r="AC313" s="5">
        <f t="shared" si="144"/>
        <v>0</v>
      </c>
      <c r="AD313" s="5">
        <f t="shared" si="145"/>
        <v>0</v>
      </c>
      <c r="AE313" s="5">
        <f t="shared" si="146"/>
        <v>0</v>
      </c>
      <c r="AF313" s="5">
        <f t="shared" si="147"/>
        <v>0</v>
      </c>
      <c r="AG313" s="5">
        <f t="shared" si="148"/>
        <v>0</v>
      </c>
      <c r="AH313" s="5">
        <f t="shared" si="149"/>
        <v>0</v>
      </c>
      <c r="AI313" s="5">
        <f t="shared" si="150"/>
        <v>0</v>
      </c>
      <c r="AJ313" s="5">
        <f t="shared" si="151"/>
        <v>0</v>
      </c>
      <c r="AK313" s="5">
        <f t="shared" si="152"/>
        <v>0</v>
      </c>
      <c r="AL313" s="5">
        <f t="shared" si="153"/>
        <v>0</v>
      </c>
      <c r="AM313" s="5">
        <f t="shared" si="154"/>
        <v>0</v>
      </c>
      <c r="AN313" s="5">
        <f t="shared" si="155"/>
        <v>0</v>
      </c>
      <c r="AO313" s="5">
        <f t="shared" si="156"/>
        <v>0</v>
      </c>
      <c r="AP313" s="5">
        <f t="shared" si="157"/>
        <v>0</v>
      </c>
      <c r="AQ313" s="5">
        <f t="shared" si="158"/>
        <v>0</v>
      </c>
      <c r="AR313" s="5">
        <f t="shared" si="159"/>
        <v>0</v>
      </c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M313" s="40">
        <f>IF(OR(V312=4,V312=8,V312=12,V312=16,V312=20),$CA$1,0)</f>
        <v>0</v>
      </c>
      <c r="BN313" s="40">
        <f>IF(OR(W312=4,W312=8,W312=12,W312=16,W312=20),$CA$1,0)</f>
        <v>0</v>
      </c>
      <c r="BO313" s="40">
        <f>IF(OR(X312=4,X312=8,X312=12,X312=16,X312=20),$CA$1,0)</f>
        <v>0</v>
      </c>
      <c r="BP313" s="40">
        <f>IF(OR(Y312=4,Y312=8,Y312=12,Y312=16,Y312=20),$CA$1,0)</f>
        <v>0</v>
      </c>
      <c r="BQ313" s="40">
        <f>IF(OR(Z312=4,Z312=8,Z312=12,Z312=16,Z312=20),$CA$1,0)</f>
        <v>0</v>
      </c>
      <c r="BR313" s="40">
        <f>IF(OR(AA312=4,AA312=8,AA312=12,AA312=16,AA312=20),$CA$1,0)</f>
        <v>0</v>
      </c>
      <c r="BS313" s="40">
        <f>IF(V309=20,$CB$1,0)</f>
        <v>0</v>
      </c>
      <c r="BT313" s="40">
        <f>IF(W309=20,$CB$1,0)</f>
        <v>0</v>
      </c>
      <c r="BU313" s="40">
        <f>IF(X309=20,$CB$1,0)</f>
        <v>0</v>
      </c>
      <c r="BV313" s="40">
        <f>IF(Y309=20,$CB$1,0)</f>
        <v>0</v>
      </c>
      <c r="BW313" s="40">
        <f>IF(Z309=20,$CB$1,0)</f>
        <v>0</v>
      </c>
      <c r="BX313" s="40">
        <f>IF(AA309=20,$CB$1,0)</f>
        <v>0</v>
      </c>
      <c r="BY313" s="41">
        <f t="shared" si="139"/>
        <v>0</v>
      </c>
      <c r="BZ313" s="41">
        <f t="shared" si="140"/>
        <v>0</v>
      </c>
      <c r="CA313" s="58">
        <f t="shared" si="162"/>
        <v>45264</v>
      </c>
      <c r="CB313" s="47">
        <f t="shared" si="141"/>
        <v>0</v>
      </c>
    </row>
    <row r="314" spans="2:80" ht="15" hidden="1" outlineLevel="1" x14ac:dyDescent="0.2">
      <c r="B314" s="18">
        <f t="shared" si="134"/>
        <v>45271</v>
      </c>
      <c r="C314" s="17" t="s">
        <v>1</v>
      </c>
      <c r="D314" s="19">
        <f t="shared" si="135"/>
        <v>45277</v>
      </c>
      <c r="E314" s="20">
        <f t="shared" si="136"/>
        <v>12</v>
      </c>
      <c r="F314" s="21">
        <f t="shared" si="137"/>
        <v>2023</v>
      </c>
      <c r="G314" s="11">
        <f t="shared" si="164"/>
        <v>22</v>
      </c>
      <c r="H314" s="10">
        <f t="shared" si="164"/>
        <v>66</v>
      </c>
      <c r="I314" s="11"/>
      <c r="J314" s="11"/>
      <c r="K314" s="11"/>
      <c r="L314" s="11"/>
      <c r="M314" s="11"/>
      <c r="N314" s="11"/>
      <c r="O314" s="14"/>
      <c r="P314" s="14"/>
      <c r="Q314" s="14"/>
      <c r="R314" s="14"/>
      <c r="S314" s="14"/>
      <c r="T314" s="14"/>
      <c r="V314" s="22">
        <f t="shared" si="163"/>
        <v>0</v>
      </c>
      <c r="W314" s="22">
        <f t="shared" si="163"/>
        <v>0</v>
      </c>
      <c r="X314" s="22">
        <f t="shared" si="163"/>
        <v>0</v>
      </c>
      <c r="Y314" s="22">
        <f t="shared" si="163"/>
        <v>0</v>
      </c>
      <c r="Z314" s="22">
        <f t="shared" si="163"/>
        <v>0</v>
      </c>
      <c r="AA314" s="22">
        <f t="shared" si="163"/>
        <v>0</v>
      </c>
      <c r="AB314" s="1"/>
      <c r="AC314" s="5">
        <f t="shared" si="144"/>
        <v>0</v>
      </c>
      <c r="AD314" s="5">
        <f t="shared" si="145"/>
        <v>0</v>
      </c>
      <c r="AE314" s="5">
        <f t="shared" si="146"/>
        <v>0</v>
      </c>
      <c r="AF314" s="5">
        <f t="shared" si="147"/>
        <v>0</v>
      </c>
      <c r="AG314" s="5">
        <f t="shared" si="148"/>
        <v>0</v>
      </c>
      <c r="AH314" s="5">
        <f t="shared" si="149"/>
        <v>0</v>
      </c>
      <c r="AI314" s="5">
        <f t="shared" si="150"/>
        <v>0</v>
      </c>
      <c r="AJ314" s="5">
        <f t="shared" si="151"/>
        <v>0</v>
      </c>
      <c r="AK314" s="5">
        <f t="shared" si="152"/>
        <v>0</v>
      </c>
      <c r="AL314" s="5">
        <f t="shared" si="153"/>
        <v>0</v>
      </c>
      <c r="AM314" s="5">
        <f t="shared" si="154"/>
        <v>0</v>
      </c>
      <c r="AN314" s="5">
        <f t="shared" si="155"/>
        <v>0</v>
      </c>
      <c r="AO314" s="5">
        <f t="shared" si="156"/>
        <v>0</v>
      </c>
      <c r="AP314" s="5">
        <f t="shared" si="157"/>
        <v>0</v>
      </c>
      <c r="AQ314" s="5">
        <f t="shared" si="158"/>
        <v>0</v>
      </c>
      <c r="AR314" s="5">
        <f t="shared" si="159"/>
        <v>0</v>
      </c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M314" s="40">
        <f>IF(OR(V313=4,V313=8,V313=12,V313=16,V313=20),$CA$1,0)</f>
        <v>0</v>
      </c>
      <c r="BN314" s="40">
        <f>IF(OR(W313=4,W313=8,W313=12,W313=16,W313=20),$CA$1,0)</f>
        <v>0</v>
      </c>
      <c r="BO314" s="40">
        <f>IF(OR(X313=4,X313=8,X313=12,X313=16,X313=20),$CA$1,0)</f>
        <v>0</v>
      </c>
      <c r="BP314" s="40">
        <f>IF(OR(Y313=4,Y313=8,Y313=12,Y313=16,Y313=20),$CA$1,0)</f>
        <v>0</v>
      </c>
      <c r="BQ314" s="40">
        <f>IF(OR(Z313=4,Z313=8,Z313=12,Z313=16,Z313=20),$CA$1,0)</f>
        <v>0</v>
      </c>
      <c r="BR314" s="40">
        <f>IF(OR(AA313=4,AA313=8,AA313=12,AA313=16,AA313=20),$CA$1,0)</f>
        <v>0</v>
      </c>
      <c r="BS314" s="40">
        <f>IF(V310=20,$CB$1,0)</f>
        <v>0</v>
      </c>
      <c r="BT314" s="40">
        <f>IF(W310=20,$CB$1,0)</f>
        <v>0</v>
      </c>
      <c r="BU314" s="40">
        <f>IF(X310=20,$CB$1,0)</f>
        <v>0</v>
      </c>
      <c r="BV314" s="40">
        <f>IF(Y310=20,$CB$1,0)</f>
        <v>0</v>
      </c>
      <c r="BW314" s="40">
        <f>IF(Z310=20,$CB$1,0)</f>
        <v>0</v>
      </c>
      <c r="BX314" s="40">
        <f>IF(AA310=20,$CB$1,0)</f>
        <v>0</v>
      </c>
      <c r="BY314" s="41">
        <f t="shared" si="139"/>
        <v>0</v>
      </c>
      <c r="BZ314" s="41">
        <f t="shared" si="140"/>
        <v>0</v>
      </c>
      <c r="CA314" s="58">
        <f t="shared" si="162"/>
        <v>45271</v>
      </c>
      <c r="CB314" s="47">
        <f t="shared" si="141"/>
        <v>0</v>
      </c>
    </row>
    <row r="315" spans="2:80" ht="15" hidden="1" outlineLevel="1" x14ac:dyDescent="0.2">
      <c r="B315" s="18">
        <f t="shared" si="134"/>
        <v>45278</v>
      </c>
      <c r="C315" s="17" t="s">
        <v>1</v>
      </c>
      <c r="D315" s="19">
        <f t="shared" si="135"/>
        <v>45284</v>
      </c>
      <c r="E315" s="20">
        <f t="shared" si="136"/>
        <v>12</v>
      </c>
      <c r="F315" s="21">
        <f t="shared" si="137"/>
        <v>2023</v>
      </c>
      <c r="G315" s="11">
        <f t="shared" si="164"/>
        <v>22</v>
      </c>
      <c r="H315" s="10">
        <f t="shared" si="164"/>
        <v>66</v>
      </c>
      <c r="I315" s="11"/>
      <c r="J315" s="11"/>
      <c r="K315" s="11"/>
      <c r="L315" s="11"/>
      <c r="M315" s="11"/>
      <c r="N315" s="11"/>
      <c r="O315" s="14"/>
      <c r="P315" s="14"/>
      <c r="Q315" s="14"/>
      <c r="R315" s="14"/>
      <c r="S315" s="14"/>
      <c r="T315" s="14"/>
      <c r="V315" s="22">
        <f t="shared" si="163"/>
        <v>0</v>
      </c>
      <c r="W315" s="22">
        <f t="shared" si="163"/>
        <v>0</v>
      </c>
      <c r="X315" s="22">
        <f t="shared" si="163"/>
        <v>0</v>
      </c>
      <c r="Y315" s="22">
        <f t="shared" si="163"/>
        <v>0</v>
      </c>
      <c r="Z315" s="22">
        <f t="shared" si="163"/>
        <v>0</v>
      </c>
      <c r="AA315" s="22">
        <f t="shared" si="163"/>
        <v>0</v>
      </c>
      <c r="AB315" s="1"/>
      <c r="AC315" s="5">
        <f t="shared" si="144"/>
        <v>0</v>
      </c>
      <c r="AD315" s="5">
        <f t="shared" si="145"/>
        <v>0</v>
      </c>
      <c r="AE315" s="5">
        <f t="shared" si="146"/>
        <v>0</v>
      </c>
      <c r="AF315" s="5">
        <f t="shared" si="147"/>
        <v>0</v>
      </c>
      <c r="AG315" s="5">
        <f t="shared" si="148"/>
        <v>0</v>
      </c>
      <c r="AH315" s="5">
        <f t="shared" si="149"/>
        <v>0</v>
      </c>
      <c r="AI315" s="5">
        <f t="shared" si="150"/>
        <v>0</v>
      </c>
      <c r="AJ315" s="5">
        <f t="shared" si="151"/>
        <v>0</v>
      </c>
      <c r="AK315" s="5">
        <f t="shared" si="152"/>
        <v>0</v>
      </c>
      <c r="AL315" s="5">
        <f t="shared" si="153"/>
        <v>0</v>
      </c>
      <c r="AM315" s="5">
        <f t="shared" si="154"/>
        <v>0</v>
      </c>
      <c r="AN315" s="5">
        <f t="shared" si="155"/>
        <v>0</v>
      </c>
      <c r="AO315" s="5">
        <f t="shared" si="156"/>
        <v>0</v>
      </c>
      <c r="AP315" s="5">
        <f t="shared" si="157"/>
        <v>0</v>
      </c>
      <c r="AQ315" s="5">
        <f t="shared" si="158"/>
        <v>0</v>
      </c>
      <c r="AR315" s="5">
        <f t="shared" si="159"/>
        <v>0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M315" s="40">
        <f>IF(OR(V314=4,V314=8,V314=12,V314=16,V314=20),$CA$1,0)</f>
        <v>0</v>
      </c>
      <c r="BN315" s="40">
        <f>IF(OR(W314=4,W314=8,W314=12,W314=16,W314=20),$CA$1,0)</f>
        <v>0</v>
      </c>
      <c r="BO315" s="40">
        <f>IF(OR(X314=4,X314=8,X314=12,X314=16,X314=20),$CA$1,0)</f>
        <v>0</v>
      </c>
      <c r="BP315" s="40">
        <f>IF(OR(Y314=4,Y314=8,Y314=12,Y314=16,Y314=20),$CA$1,0)</f>
        <v>0</v>
      </c>
      <c r="BQ315" s="40">
        <f>IF(OR(Z314=4,Z314=8,Z314=12,Z314=16,Z314=20),$CA$1,0)</f>
        <v>0</v>
      </c>
      <c r="BR315" s="40">
        <f>IF(OR(AA314=4,AA314=8,AA314=12,AA314=16,AA314=20),$CA$1,0)</f>
        <v>0</v>
      </c>
      <c r="BS315" s="40">
        <f>IF(V311=20,$CB$1,0)</f>
        <v>0</v>
      </c>
      <c r="BT315" s="40">
        <f>IF(W311=20,$CB$1,0)</f>
        <v>0</v>
      </c>
      <c r="BU315" s="40">
        <f>IF(X311=20,$CB$1,0)</f>
        <v>0</v>
      </c>
      <c r="BV315" s="40">
        <f>IF(Y311=20,$CB$1,0)</f>
        <v>0</v>
      </c>
      <c r="BW315" s="40">
        <f>IF(Z311=20,$CB$1,0)</f>
        <v>0</v>
      </c>
      <c r="BX315" s="40">
        <f>IF(AA311=20,$CB$1,0)</f>
        <v>0</v>
      </c>
      <c r="BY315" s="41">
        <f t="shared" si="139"/>
        <v>0</v>
      </c>
      <c r="BZ315" s="41">
        <f t="shared" si="140"/>
        <v>0</v>
      </c>
      <c r="CA315" s="58">
        <f t="shared" si="162"/>
        <v>45278</v>
      </c>
      <c r="CB315" s="47">
        <f t="shared" si="141"/>
        <v>0</v>
      </c>
    </row>
    <row r="316" spans="2:80" ht="15" collapsed="1" x14ac:dyDescent="0.2">
      <c r="B316" s="18">
        <f t="shared" si="134"/>
        <v>45285</v>
      </c>
      <c r="C316" s="17" t="s">
        <v>1</v>
      </c>
      <c r="D316" s="19">
        <f t="shared" si="135"/>
        <v>45291</v>
      </c>
      <c r="E316" s="20">
        <f t="shared" si="136"/>
        <v>12</v>
      </c>
      <c r="F316" s="21">
        <f t="shared" si="137"/>
        <v>2023</v>
      </c>
      <c r="G316" s="11">
        <f t="shared" si="164"/>
        <v>22</v>
      </c>
      <c r="H316" s="10">
        <f t="shared" si="164"/>
        <v>66</v>
      </c>
      <c r="I316" s="11"/>
      <c r="J316" s="11"/>
      <c r="K316" s="11"/>
      <c r="L316" s="11"/>
      <c r="M316" s="11"/>
      <c r="N316" s="11"/>
      <c r="O316" s="14"/>
      <c r="P316" s="14"/>
      <c r="Q316" s="14"/>
      <c r="R316" s="14"/>
      <c r="S316" s="14"/>
      <c r="T316" s="14"/>
      <c r="V316" s="22">
        <f t="shared" si="163"/>
        <v>0</v>
      </c>
      <c r="W316" s="22">
        <f t="shared" si="163"/>
        <v>0</v>
      </c>
      <c r="X316" s="22">
        <f t="shared" si="163"/>
        <v>0</v>
      </c>
      <c r="Y316" s="22">
        <f t="shared" si="163"/>
        <v>0</v>
      </c>
      <c r="Z316" s="22">
        <f t="shared" si="163"/>
        <v>0</v>
      </c>
      <c r="AA316" s="22">
        <f t="shared" si="163"/>
        <v>0</v>
      </c>
      <c r="AB316" s="1"/>
      <c r="AC316" s="5">
        <f t="shared" si="144"/>
        <v>0</v>
      </c>
      <c r="AD316" s="5">
        <f t="shared" si="145"/>
        <v>0</v>
      </c>
      <c r="AE316" s="5">
        <f t="shared" si="146"/>
        <v>0</v>
      </c>
      <c r="AF316" s="5">
        <f t="shared" si="147"/>
        <v>0</v>
      </c>
      <c r="AG316" s="5">
        <f t="shared" si="148"/>
        <v>0</v>
      </c>
      <c r="AH316" s="5">
        <f t="shared" si="149"/>
        <v>0</v>
      </c>
      <c r="AI316" s="5">
        <f t="shared" si="150"/>
        <v>0</v>
      </c>
      <c r="AJ316" s="5">
        <f t="shared" si="151"/>
        <v>0</v>
      </c>
      <c r="AK316" s="5">
        <f t="shared" si="152"/>
        <v>0</v>
      </c>
      <c r="AL316" s="5">
        <f t="shared" si="153"/>
        <v>0</v>
      </c>
      <c r="AM316" s="5">
        <f t="shared" si="154"/>
        <v>0</v>
      </c>
      <c r="AN316" s="5">
        <f t="shared" si="155"/>
        <v>0</v>
      </c>
      <c r="AO316" s="5">
        <f t="shared" si="156"/>
        <v>0</v>
      </c>
      <c r="AP316" s="5">
        <f t="shared" si="157"/>
        <v>0</v>
      </c>
      <c r="AQ316" s="5">
        <f t="shared" si="158"/>
        <v>0</v>
      </c>
      <c r="AR316" s="5">
        <f t="shared" si="159"/>
        <v>0</v>
      </c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M316" s="40">
        <f>IF(OR(V315=4,V315=8,V315=12,V315=16,V315=20),$CA$1,0)</f>
        <v>0</v>
      </c>
      <c r="BN316" s="40">
        <f>IF(OR(W315=4,W315=8,W315=12,W315=16,W315=20),$CA$1,0)</f>
        <v>0</v>
      </c>
      <c r="BO316" s="40">
        <f>IF(OR(X315=4,X315=8,X315=12,X315=16,X315=20),$CA$1,0)</f>
        <v>0</v>
      </c>
      <c r="BP316" s="40">
        <f>IF(OR(Y315=4,Y315=8,Y315=12,Y315=16,Y315=20),$CA$1,0)</f>
        <v>0</v>
      </c>
      <c r="BQ316" s="40">
        <f>IF(OR(Z315=4,Z315=8,Z315=12,Z315=16,Z315=20),$CA$1,0)</f>
        <v>0</v>
      </c>
      <c r="BR316" s="40">
        <f>IF(OR(AA315=4,AA315=8,AA315=12,AA315=16,AA315=20),$CA$1,0)</f>
        <v>0</v>
      </c>
      <c r="BS316" s="40">
        <f>IF(V312=20,$CB$1,0)</f>
        <v>0</v>
      </c>
      <c r="BT316" s="40">
        <f>IF(W312=20,$CB$1,0)</f>
        <v>0</v>
      </c>
      <c r="BU316" s="40">
        <f>IF(X312=20,$CB$1,0)</f>
        <v>0</v>
      </c>
      <c r="BV316" s="40">
        <f>IF(Y312=20,$CB$1,0)</f>
        <v>0</v>
      </c>
      <c r="BW316" s="40">
        <f>IF(Z312=20,$CB$1,0)</f>
        <v>0</v>
      </c>
      <c r="BX316" s="40">
        <f>IF(AA312=20,$CB$1,0)</f>
        <v>0</v>
      </c>
      <c r="BY316" s="41">
        <f t="shared" si="139"/>
        <v>0</v>
      </c>
      <c r="BZ316" s="41">
        <f t="shared" si="140"/>
        <v>0</v>
      </c>
      <c r="CA316" s="58">
        <f t="shared" si="162"/>
        <v>45285</v>
      </c>
      <c r="CB316" s="47">
        <f t="shared" si="141"/>
        <v>0</v>
      </c>
    </row>
    <row r="317" spans="2:80" ht="15" hidden="1" outlineLevel="1" x14ac:dyDescent="0.2">
      <c r="B317" s="18">
        <f t="shared" si="134"/>
        <v>45292</v>
      </c>
      <c r="C317" s="17" t="s">
        <v>1</v>
      </c>
      <c r="D317" s="19">
        <f t="shared" si="135"/>
        <v>45298</v>
      </c>
      <c r="E317" s="20">
        <f t="shared" si="136"/>
        <v>1</v>
      </c>
      <c r="F317" s="21">
        <f t="shared" si="137"/>
        <v>2024</v>
      </c>
      <c r="G317" s="11">
        <f t="shared" si="164"/>
        <v>22</v>
      </c>
      <c r="H317" s="10">
        <f t="shared" si="164"/>
        <v>66</v>
      </c>
      <c r="I317" s="11"/>
      <c r="J317" s="11"/>
      <c r="K317" s="11"/>
      <c r="L317" s="11"/>
      <c r="M317" s="11"/>
      <c r="N317" s="11"/>
      <c r="O317" s="14"/>
      <c r="P317" s="14"/>
      <c r="Q317" s="14"/>
      <c r="R317" s="14"/>
      <c r="S317" s="14"/>
      <c r="T317" s="14"/>
      <c r="V317" s="22">
        <f t="shared" si="163"/>
        <v>0</v>
      </c>
      <c r="W317" s="22">
        <f t="shared" si="163"/>
        <v>0</v>
      </c>
      <c r="X317" s="22">
        <f t="shared" si="163"/>
        <v>0</v>
      </c>
      <c r="Y317" s="22">
        <f t="shared" si="163"/>
        <v>0</v>
      </c>
      <c r="Z317" s="22">
        <f t="shared" si="163"/>
        <v>0</v>
      </c>
      <c r="AA317" s="22">
        <f t="shared" si="163"/>
        <v>0</v>
      </c>
      <c r="AB317" s="1"/>
      <c r="AC317" s="5">
        <f t="shared" si="144"/>
        <v>0</v>
      </c>
      <c r="AD317" s="5">
        <f t="shared" si="145"/>
        <v>0</v>
      </c>
      <c r="AE317" s="5">
        <f t="shared" si="146"/>
        <v>0</v>
      </c>
      <c r="AF317" s="5">
        <f t="shared" si="147"/>
        <v>0</v>
      </c>
      <c r="AG317" s="5">
        <f t="shared" si="148"/>
        <v>0</v>
      </c>
      <c r="AH317" s="5">
        <f t="shared" si="149"/>
        <v>0</v>
      </c>
      <c r="AI317" s="5">
        <f t="shared" si="150"/>
        <v>0</v>
      </c>
      <c r="AJ317" s="5">
        <f t="shared" si="151"/>
        <v>0</v>
      </c>
      <c r="AK317" s="5">
        <f t="shared" si="152"/>
        <v>0</v>
      </c>
      <c r="AL317" s="5">
        <f t="shared" si="153"/>
        <v>0</v>
      </c>
      <c r="AM317" s="5">
        <f t="shared" si="154"/>
        <v>0</v>
      </c>
      <c r="AN317" s="5">
        <f t="shared" si="155"/>
        <v>0</v>
      </c>
      <c r="AO317" s="5">
        <f t="shared" si="156"/>
        <v>0</v>
      </c>
      <c r="AP317" s="5">
        <f t="shared" si="157"/>
        <v>0</v>
      </c>
      <c r="AQ317" s="5">
        <f t="shared" si="158"/>
        <v>0</v>
      </c>
      <c r="AR317" s="5">
        <f t="shared" si="159"/>
        <v>0</v>
      </c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CB317" s="47"/>
    </row>
    <row r="318" spans="2:80" ht="15" hidden="1" outlineLevel="1" x14ac:dyDescent="0.2">
      <c r="B318" s="18">
        <f t="shared" si="134"/>
        <v>45299</v>
      </c>
      <c r="C318" s="17" t="s">
        <v>1</v>
      </c>
      <c r="D318" s="19">
        <f t="shared" si="135"/>
        <v>45305</v>
      </c>
      <c r="E318" s="20">
        <f t="shared" si="136"/>
        <v>1</v>
      </c>
      <c r="F318" s="21">
        <f t="shared" si="137"/>
        <v>2024</v>
      </c>
      <c r="G318" s="11">
        <f t="shared" si="164"/>
        <v>22</v>
      </c>
      <c r="H318" s="10">
        <f t="shared" si="164"/>
        <v>66</v>
      </c>
      <c r="I318" s="11"/>
      <c r="J318" s="11"/>
      <c r="K318" s="11"/>
      <c r="L318" s="11"/>
      <c r="M318" s="11"/>
      <c r="N318" s="11"/>
      <c r="O318" s="14"/>
      <c r="P318" s="14"/>
      <c r="Q318" s="14"/>
      <c r="R318" s="14"/>
      <c r="S318" s="14"/>
      <c r="T318" s="14"/>
      <c r="V318" s="22">
        <f t="shared" si="163"/>
        <v>0</v>
      </c>
      <c r="W318" s="22">
        <f t="shared" si="163"/>
        <v>0</v>
      </c>
      <c r="X318" s="22">
        <f t="shared" si="163"/>
        <v>0</v>
      </c>
      <c r="Y318" s="22">
        <f t="shared" si="163"/>
        <v>0</v>
      </c>
      <c r="Z318" s="22">
        <f t="shared" si="163"/>
        <v>0</v>
      </c>
      <c r="AA318" s="22">
        <f t="shared" si="163"/>
        <v>0</v>
      </c>
      <c r="AB318" s="1"/>
      <c r="AC318" s="5">
        <f t="shared" si="144"/>
        <v>0</v>
      </c>
      <c r="AD318" s="5">
        <f t="shared" si="145"/>
        <v>0</v>
      </c>
      <c r="AE318" s="5">
        <f t="shared" si="146"/>
        <v>0</v>
      </c>
      <c r="AF318" s="5">
        <f t="shared" si="147"/>
        <v>0</v>
      </c>
      <c r="AG318" s="5">
        <f t="shared" si="148"/>
        <v>0</v>
      </c>
      <c r="AH318" s="5">
        <f t="shared" si="149"/>
        <v>0</v>
      </c>
      <c r="AI318" s="5">
        <f t="shared" si="150"/>
        <v>0</v>
      </c>
      <c r="AJ318" s="5">
        <f t="shared" si="151"/>
        <v>0</v>
      </c>
      <c r="AK318" s="5">
        <f t="shared" si="152"/>
        <v>0</v>
      </c>
      <c r="AL318" s="5">
        <f t="shared" si="153"/>
        <v>0</v>
      </c>
      <c r="AM318" s="5">
        <f t="shared" si="154"/>
        <v>0</v>
      </c>
      <c r="AN318" s="5">
        <f t="shared" si="155"/>
        <v>0</v>
      </c>
      <c r="AO318" s="5">
        <f t="shared" si="156"/>
        <v>0</v>
      </c>
      <c r="AP318" s="5">
        <f t="shared" si="157"/>
        <v>0</v>
      </c>
      <c r="AQ318" s="5">
        <f t="shared" si="158"/>
        <v>0</v>
      </c>
      <c r="AR318" s="5">
        <f t="shared" si="159"/>
        <v>0</v>
      </c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CB318" s="47"/>
    </row>
    <row r="319" spans="2:80" ht="15" hidden="1" outlineLevel="1" x14ac:dyDescent="0.2">
      <c r="B319" s="18">
        <f t="shared" si="134"/>
        <v>45306</v>
      </c>
      <c r="C319" s="17" t="s">
        <v>1</v>
      </c>
      <c r="D319" s="19">
        <f t="shared" si="135"/>
        <v>45312</v>
      </c>
      <c r="E319" s="20">
        <f t="shared" si="136"/>
        <v>1</v>
      </c>
      <c r="F319" s="21">
        <f t="shared" si="137"/>
        <v>2024</v>
      </c>
      <c r="G319" s="11">
        <f t="shared" si="164"/>
        <v>22</v>
      </c>
      <c r="H319" s="10">
        <f t="shared" si="164"/>
        <v>66</v>
      </c>
      <c r="I319" s="11"/>
      <c r="J319" s="11"/>
      <c r="K319" s="11"/>
      <c r="L319" s="11"/>
      <c r="M319" s="11"/>
      <c r="N319" s="11"/>
      <c r="O319" s="14"/>
      <c r="P319" s="14"/>
      <c r="Q319" s="14"/>
      <c r="R319" s="14"/>
      <c r="S319" s="14"/>
      <c r="T319" s="14"/>
      <c r="V319" s="22">
        <f t="shared" si="163"/>
        <v>0</v>
      </c>
      <c r="W319" s="22">
        <f t="shared" si="163"/>
        <v>0</v>
      </c>
      <c r="X319" s="22">
        <f t="shared" si="163"/>
        <v>0</v>
      </c>
      <c r="Y319" s="22">
        <f t="shared" si="163"/>
        <v>0</v>
      </c>
      <c r="Z319" s="22">
        <f t="shared" si="163"/>
        <v>0</v>
      </c>
      <c r="AA319" s="22">
        <f t="shared" si="163"/>
        <v>0</v>
      </c>
      <c r="AB319" s="1"/>
      <c r="AC319" s="5">
        <f t="shared" si="144"/>
        <v>0</v>
      </c>
      <c r="AD319" s="5">
        <f t="shared" si="145"/>
        <v>0</v>
      </c>
      <c r="AE319" s="5">
        <f>IF(AND(AU319&gt;=$V$2,AU319&lt;=$AA$2),LOOKUP(AU319,$V$2:$AA$2,$V319:$AA319),IF(AU318="A",0,IF(AE318=$H319,0,IF(AE318=0,0,AE318+1))))</f>
        <v>0</v>
      </c>
      <c r="AF319" s="5">
        <f t="shared" si="147"/>
        <v>0</v>
      </c>
      <c r="AG319" s="5">
        <f t="shared" si="148"/>
        <v>0</v>
      </c>
      <c r="AH319" s="5">
        <f t="shared" si="149"/>
        <v>0</v>
      </c>
      <c r="AI319" s="5">
        <f t="shared" si="150"/>
        <v>0</v>
      </c>
      <c r="AJ319" s="5">
        <f t="shared" si="151"/>
        <v>0</v>
      </c>
      <c r="AK319" s="5">
        <f t="shared" si="152"/>
        <v>0</v>
      </c>
      <c r="AL319" s="5">
        <f t="shared" si="153"/>
        <v>0</v>
      </c>
      <c r="AM319" s="5">
        <f t="shared" si="154"/>
        <v>0</v>
      </c>
      <c r="AN319" s="5">
        <f t="shared" si="155"/>
        <v>0</v>
      </c>
      <c r="AO319" s="5">
        <f t="shared" si="156"/>
        <v>0</v>
      </c>
      <c r="AP319" s="5">
        <f t="shared" si="157"/>
        <v>0</v>
      </c>
      <c r="AQ319" s="5">
        <f t="shared" si="158"/>
        <v>0</v>
      </c>
      <c r="AR319" s="5">
        <f t="shared" si="159"/>
        <v>0</v>
      </c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CB319" s="47"/>
    </row>
    <row r="320" spans="2:80" ht="15" hidden="1" outlineLevel="1" x14ac:dyDescent="0.2">
      <c r="B320" s="18">
        <f t="shared" si="134"/>
        <v>45313</v>
      </c>
      <c r="C320" s="17" t="s">
        <v>1</v>
      </c>
      <c r="D320" s="19">
        <f t="shared" si="135"/>
        <v>45319</v>
      </c>
      <c r="E320" s="20">
        <f t="shared" si="136"/>
        <v>1</v>
      </c>
      <c r="F320" s="21">
        <f t="shared" si="137"/>
        <v>2024</v>
      </c>
      <c r="G320" s="11">
        <f t="shared" si="164"/>
        <v>22</v>
      </c>
      <c r="H320" s="10">
        <f t="shared" si="164"/>
        <v>66</v>
      </c>
      <c r="I320" s="11"/>
      <c r="J320" s="11"/>
      <c r="K320" s="11"/>
      <c r="L320" s="11"/>
      <c r="M320" s="11"/>
      <c r="N320" s="11"/>
      <c r="O320" s="14"/>
      <c r="P320" s="14"/>
      <c r="Q320" s="14"/>
      <c r="R320" s="14"/>
      <c r="S320" s="14"/>
      <c r="T320" s="14"/>
      <c r="V320" s="22">
        <f t="shared" si="163"/>
        <v>0</v>
      </c>
      <c r="W320" s="22">
        <f t="shared" si="163"/>
        <v>0</v>
      </c>
      <c r="X320" s="22">
        <f t="shared" si="163"/>
        <v>0</v>
      </c>
      <c r="Y320" s="22">
        <f t="shared" si="163"/>
        <v>0</v>
      </c>
      <c r="Z320" s="22">
        <f t="shared" si="163"/>
        <v>0</v>
      </c>
      <c r="AA320" s="22">
        <f t="shared" si="163"/>
        <v>0</v>
      </c>
      <c r="AB320" s="1"/>
      <c r="AC320" s="5">
        <f t="shared" si="144"/>
        <v>0</v>
      </c>
      <c r="AD320" s="5">
        <f t="shared" si="145"/>
        <v>0</v>
      </c>
      <c r="AE320" s="5">
        <f t="shared" si="146"/>
        <v>0</v>
      </c>
      <c r="AF320" s="5">
        <f t="shared" si="147"/>
        <v>0</v>
      </c>
      <c r="AG320" s="5">
        <f t="shared" si="148"/>
        <v>0</v>
      </c>
      <c r="AH320" s="5">
        <f t="shared" si="149"/>
        <v>0</v>
      </c>
      <c r="AI320" s="5">
        <f t="shared" si="150"/>
        <v>0</v>
      </c>
      <c r="AJ320" s="5">
        <f t="shared" si="151"/>
        <v>0</v>
      </c>
      <c r="AK320" s="5">
        <f t="shared" si="152"/>
        <v>0</v>
      </c>
      <c r="AL320" s="5">
        <f t="shared" si="153"/>
        <v>0</v>
      </c>
      <c r="AM320" s="5">
        <f t="shared" si="154"/>
        <v>0</v>
      </c>
      <c r="AN320" s="5">
        <f t="shared" si="155"/>
        <v>0</v>
      </c>
      <c r="AO320" s="5">
        <f t="shared" si="156"/>
        <v>0</v>
      </c>
      <c r="AP320" s="5">
        <f t="shared" si="157"/>
        <v>0</v>
      </c>
      <c r="AQ320" s="5">
        <f t="shared" si="158"/>
        <v>0</v>
      </c>
      <c r="AR320" s="5">
        <f t="shared" si="159"/>
        <v>0</v>
      </c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CB320" s="47"/>
    </row>
    <row r="321" spans="2:80" ht="15" hidden="1" outlineLevel="1" x14ac:dyDescent="0.2">
      <c r="B321" s="18">
        <f t="shared" si="134"/>
        <v>45320</v>
      </c>
      <c r="C321" s="17" t="s">
        <v>1</v>
      </c>
      <c r="D321" s="19">
        <f t="shared" si="135"/>
        <v>45326</v>
      </c>
      <c r="E321" s="20">
        <f t="shared" si="136"/>
        <v>1</v>
      </c>
      <c r="F321" s="21">
        <f t="shared" si="137"/>
        <v>2024</v>
      </c>
      <c r="G321" s="11">
        <f t="shared" si="164"/>
        <v>22</v>
      </c>
      <c r="H321" s="10">
        <f t="shared" si="164"/>
        <v>66</v>
      </c>
      <c r="I321" s="11"/>
      <c r="J321" s="11"/>
      <c r="K321" s="11"/>
      <c r="L321" s="11"/>
      <c r="M321" s="11"/>
      <c r="N321" s="11"/>
      <c r="O321" s="14"/>
      <c r="P321" s="14"/>
      <c r="Q321" s="14"/>
      <c r="R321" s="14"/>
      <c r="S321" s="14"/>
      <c r="T321" s="14"/>
      <c r="V321" s="22">
        <f t="shared" si="163"/>
        <v>0</v>
      </c>
      <c r="W321" s="22">
        <f t="shared" si="163"/>
        <v>0</v>
      </c>
      <c r="X321" s="22">
        <f t="shared" si="163"/>
        <v>0</v>
      </c>
      <c r="Y321" s="22">
        <f t="shared" si="163"/>
        <v>0</v>
      </c>
      <c r="Z321" s="22">
        <f t="shared" si="163"/>
        <v>0</v>
      </c>
      <c r="AA321" s="22">
        <f t="shared" si="163"/>
        <v>0</v>
      </c>
      <c r="AB321" s="1"/>
      <c r="AC321" s="5">
        <f t="shared" si="144"/>
        <v>0</v>
      </c>
      <c r="AD321" s="5">
        <f t="shared" si="145"/>
        <v>0</v>
      </c>
      <c r="AE321" s="5">
        <f t="shared" si="146"/>
        <v>0</v>
      </c>
      <c r="AF321" s="5">
        <f t="shared" si="147"/>
        <v>0</v>
      </c>
      <c r="AG321" s="5">
        <f t="shared" si="148"/>
        <v>0</v>
      </c>
      <c r="AH321" s="5">
        <f t="shared" si="149"/>
        <v>0</v>
      </c>
      <c r="AI321" s="5">
        <f t="shared" si="150"/>
        <v>0</v>
      </c>
      <c r="AJ321" s="5">
        <f t="shared" si="151"/>
        <v>0</v>
      </c>
      <c r="AK321" s="5">
        <f t="shared" si="152"/>
        <v>0</v>
      </c>
      <c r="AL321" s="5">
        <f t="shared" si="153"/>
        <v>0</v>
      </c>
      <c r="AM321" s="5">
        <f t="shared" si="154"/>
        <v>0</v>
      </c>
      <c r="AN321" s="5">
        <f t="shared" si="155"/>
        <v>0</v>
      </c>
      <c r="AO321" s="5">
        <f t="shared" si="156"/>
        <v>0</v>
      </c>
      <c r="AP321" s="5">
        <f t="shared" si="157"/>
        <v>0</v>
      </c>
      <c r="AQ321" s="5">
        <f t="shared" si="158"/>
        <v>0</v>
      </c>
      <c r="AR321" s="5">
        <f t="shared" si="159"/>
        <v>0</v>
      </c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CB321" s="47"/>
    </row>
    <row r="322" spans="2:80" ht="15" hidden="1" outlineLevel="1" x14ac:dyDescent="0.2">
      <c r="B322" s="18">
        <f t="shared" si="134"/>
        <v>45327</v>
      </c>
      <c r="C322" s="17" t="s">
        <v>1</v>
      </c>
      <c r="D322" s="19">
        <f t="shared" si="135"/>
        <v>45333</v>
      </c>
      <c r="E322" s="20">
        <f t="shared" si="136"/>
        <v>2</v>
      </c>
      <c r="F322" s="21">
        <f t="shared" si="137"/>
        <v>2024</v>
      </c>
      <c r="G322" s="11">
        <f t="shared" si="164"/>
        <v>22</v>
      </c>
      <c r="H322" s="10">
        <f t="shared" si="164"/>
        <v>66</v>
      </c>
      <c r="I322" s="11"/>
      <c r="J322" s="11"/>
      <c r="K322" s="11"/>
      <c r="L322" s="11"/>
      <c r="M322" s="11"/>
      <c r="N322" s="11"/>
      <c r="O322" s="14"/>
      <c r="P322" s="14"/>
      <c r="Q322" s="14"/>
      <c r="R322" s="14"/>
      <c r="S322" s="14"/>
      <c r="T322" s="14"/>
      <c r="V322" s="22">
        <f t="shared" si="163"/>
        <v>0</v>
      </c>
      <c r="W322" s="22">
        <f t="shared" si="163"/>
        <v>0</v>
      </c>
      <c r="X322" s="22">
        <f t="shared" si="163"/>
        <v>0</v>
      </c>
      <c r="Y322" s="22">
        <f t="shared" si="163"/>
        <v>0</v>
      </c>
      <c r="Z322" s="22">
        <f t="shared" si="163"/>
        <v>0</v>
      </c>
      <c r="AA322" s="22">
        <f t="shared" si="163"/>
        <v>0</v>
      </c>
      <c r="AB322" s="1"/>
      <c r="AC322" s="5">
        <f t="shared" si="144"/>
        <v>0</v>
      </c>
      <c r="AD322" s="5">
        <f t="shared" si="145"/>
        <v>0</v>
      </c>
      <c r="AE322" s="5">
        <f t="shared" si="146"/>
        <v>0</v>
      </c>
      <c r="AF322" s="5">
        <f t="shared" si="147"/>
        <v>0</v>
      </c>
      <c r="AG322" s="5">
        <f t="shared" si="148"/>
        <v>0</v>
      </c>
      <c r="AH322" s="5">
        <f t="shared" si="149"/>
        <v>0</v>
      </c>
      <c r="AI322" s="5">
        <f t="shared" si="150"/>
        <v>0</v>
      </c>
      <c r="AJ322" s="5">
        <f t="shared" si="151"/>
        <v>0</v>
      </c>
      <c r="AK322" s="5">
        <f t="shared" si="152"/>
        <v>0</v>
      </c>
      <c r="AL322" s="5">
        <f t="shared" si="153"/>
        <v>0</v>
      </c>
      <c r="AM322" s="5">
        <f t="shared" si="154"/>
        <v>0</v>
      </c>
      <c r="AN322" s="5">
        <f t="shared" si="155"/>
        <v>0</v>
      </c>
      <c r="AO322" s="5">
        <f t="shared" si="156"/>
        <v>0</v>
      </c>
      <c r="AP322" s="5">
        <f t="shared" si="157"/>
        <v>0</v>
      </c>
      <c r="AQ322" s="5">
        <f t="shared" si="158"/>
        <v>0</v>
      </c>
      <c r="AR322" s="5">
        <f t="shared" si="159"/>
        <v>0</v>
      </c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CB322" s="47"/>
    </row>
    <row r="323" spans="2:80" ht="15" hidden="1" outlineLevel="1" x14ac:dyDescent="0.2">
      <c r="B323" s="18">
        <f t="shared" si="134"/>
        <v>45334</v>
      </c>
      <c r="C323" s="17" t="s">
        <v>1</v>
      </c>
      <c r="D323" s="19">
        <f t="shared" si="135"/>
        <v>45340</v>
      </c>
      <c r="E323" s="20">
        <f t="shared" si="136"/>
        <v>2</v>
      </c>
      <c r="F323" s="21">
        <f t="shared" si="137"/>
        <v>2024</v>
      </c>
      <c r="G323" s="11">
        <f t="shared" si="164"/>
        <v>22</v>
      </c>
      <c r="H323" s="10">
        <f t="shared" si="164"/>
        <v>66</v>
      </c>
      <c r="I323" s="11"/>
      <c r="J323" s="11"/>
      <c r="K323" s="11"/>
      <c r="L323" s="11"/>
      <c r="M323" s="11"/>
      <c r="N323" s="11"/>
      <c r="O323" s="14"/>
      <c r="P323" s="14"/>
      <c r="Q323" s="14"/>
      <c r="R323" s="14"/>
      <c r="S323" s="14"/>
      <c r="T323" s="14"/>
      <c r="V323" s="22">
        <f t="shared" si="163"/>
        <v>0</v>
      </c>
      <c r="W323" s="22">
        <f t="shared" si="163"/>
        <v>0</v>
      </c>
      <c r="X323" s="22">
        <f t="shared" si="163"/>
        <v>0</v>
      </c>
      <c r="Y323" s="22">
        <f t="shared" si="163"/>
        <v>0</v>
      </c>
      <c r="Z323" s="22">
        <f t="shared" si="163"/>
        <v>0</v>
      </c>
      <c r="AA323" s="22">
        <f t="shared" si="163"/>
        <v>0</v>
      </c>
      <c r="AB323" s="1"/>
      <c r="AC323" s="5">
        <f t="shared" si="144"/>
        <v>0</v>
      </c>
      <c r="AD323" s="5">
        <f t="shared" si="145"/>
        <v>0</v>
      </c>
      <c r="AE323" s="5">
        <f t="shared" si="146"/>
        <v>0</v>
      </c>
      <c r="AF323" s="5">
        <f t="shared" si="147"/>
        <v>0</v>
      </c>
      <c r="AG323" s="5">
        <f t="shared" si="148"/>
        <v>0</v>
      </c>
      <c r="AH323" s="5">
        <f t="shared" si="149"/>
        <v>0</v>
      </c>
      <c r="AI323" s="5">
        <f t="shared" si="150"/>
        <v>0</v>
      </c>
      <c r="AJ323" s="5">
        <f t="shared" si="151"/>
        <v>0</v>
      </c>
      <c r="AK323" s="5">
        <f t="shared" si="152"/>
        <v>0</v>
      </c>
      <c r="AL323" s="5">
        <f t="shared" si="153"/>
        <v>0</v>
      </c>
      <c r="AM323" s="5">
        <f t="shared" si="154"/>
        <v>0</v>
      </c>
      <c r="AN323" s="5">
        <f t="shared" si="155"/>
        <v>0</v>
      </c>
      <c r="AO323" s="5">
        <f t="shared" si="156"/>
        <v>0</v>
      </c>
      <c r="AP323" s="5">
        <f t="shared" si="157"/>
        <v>0</v>
      </c>
      <c r="AQ323" s="5">
        <f t="shared" si="158"/>
        <v>0</v>
      </c>
      <c r="AR323" s="5">
        <f t="shared" si="159"/>
        <v>0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CB323" s="47"/>
    </row>
    <row r="324" spans="2:80" ht="15" hidden="1" outlineLevel="1" x14ac:dyDescent="0.2">
      <c r="B324" s="18">
        <f t="shared" si="134"/>
        <v>45341</v>
      </c>
      <c r="C324" s="17" t="s">
        <v>1</v>
      </c>
      <c r="D324" s="19">
        <f t="shared" si="135"/>
        <v>45347</v>
      </c>
      <c r="E324" s="20">
        <f t="shared" si="136"/>
        <v>2</v>
      </c>
      <c r="F324" s="21">
        <f t="shared" si="137"/>
        <v>2024</v>
      </c>
      <c r="G324" s="11">
        <f t="shared" si="164"/>
        <v>22</v>
      </c>
      <c r="H324" s="10">
        <f t="shared" si="164"/>
        <v>66</v>
      </c>
      <c r="I324" s="11"/>
      <c r="J324" s="11"/>
      <c r="K324" s="11"/>
      <c r="L324" s="11"/>
      <c r="M324" s="11"/>
      <c r="N324" s="11"/>
      <c r="O324" s="14"/>
      <c r="P324" s="14"/>
      <c r="Q324" s="14"/>
      <c r="R324" s="14"/>
      <c r="S324" s="14"/>
      <c r="T324" s="14"/>
      <c r="V324" s="22">
        <f t="shared" ref="V324:AA339" si="165">IF(I324&gt;0,I324,IF(O324=1,$B324+2,IF(O323=1,1,IF(O323=2,0,IF(V323=$G323,0,(IF(V323&gt;=1,V323+1,0)))))))</f>
        <v>0</v>
      </c>
      <c r="W324" s="22">
        <f t="shared" si="165"/>
        <v>0</v>
      </c>
      <c r="X324" s="22">
        <f t="shared" si="165"/>
        <v>0</v>
      </c>
      <c r="Y324" s="22">
        <f t="shared" si="165"/>
        <v>0</v>
      </c>
      <c r="Z324" s="22">
        <f t="shared" si="165"/>
        <v>0</v>
      </c>
      <c r="AA324" s="22">
        <f t="shared" si="165"/>
        <v>0</v>
      </c>
      <c r="AB324" s="1"/>
      <c r="AC324" s="5">
        <f t="shared" si="144"/>
        <v>0</v>
      </c>
      <c r="AD324" s="5">
        <f t="shared" si="145"/>
        <v>0</v>
      </c>
      <c r="AE324" s="5">
        <f t="shared" si="146"/>
        <v>0</v>
      </c>
      <c r="AF324" s="5">
        <f t="shared" si="147"/>
        <v>0</v>
      </c>
      <c r="AG324" s="5">
        <f t="shared" si="148"/>
        <v>0</v>
      </c>
      <c r="AH324" s="5">
        <f t="shared" si="149"/>
        <v>0</v>
      </c>
      <c r="AI324" s="5">
        <f t="shared" si="150"/>
        <v>0</v>
      </c>
      <c r="AJ324" s="5">
        <f t="shared" si="151"/>
        <v>0</v>
      </c>
      <c r="AK324" s="5">
        <f t="shared" si="152"/>
        <v>0</v>
      </c>
      <c r="AL324" s="5">
        <f t="shared" si="153"/>
        <v>0</v>
      </c>
      <c r="AM324" s="5">
        <f t="shared" si="154"/>
        <v>0</v>
      </c>
      <c r="AN324" s="5">
        <f t="shared" si="155"/>
        <v>0</v>
      </c>
      <c r="AO324" s="5">
        <f t="shared" si="156"/>
        <v>0</v>
      </c>
      <c r="AP324" s="5">
        <f t="shared" si="157"/>
        <v>0</v>
      </c>
      <c r="AQ324" s="5">
        <f t="shared" si="158"/>
        <v>0</v>
      </c>
      <c r="AR324" s="5">
        <f t="shared" si="159"/>
        <v>0</v>
      </c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CB324" s="47"/>
    </row>
    <row r="325" spans="2:80" ht="15" hidden="1" outlineLevel="1" x14ac:dyDescent="0.2">
      <c r="B325" s="18">
        <f t="shared" ref="B325:B388" si="166">D324+1</f>
        <v>45348</v>
      </c>
      <c r="C325" s="17" t="s">
        <v>1</v>
      </c>
      <c r="D325" s="19">
        <f t="shared" ref="D325:D388" si="167">B325+6</f>
        <v>45354</v>
      </c>
      <c r="E325" s="20">
        <f t="shared" ref="E325:E388" si="168">MONTH(B325)</f>
        <v>2</v>
      </c>
      <c r="F325" s="21">
        <f t="shared" ref="F325:F388" si="169">YEAR(D325)</f>
        <v>2024</v>
      </c>
      <c r="G325" s="11">
        <f t="shared" si="164"/>
        <v>22</v>
      </c>
      <c r="H325" s="10">
        <f t="shared" si="164"/>
        <v>66</v>
      </c>
      <c r="I325" s="11"/>
      <c r="J325" s="11"/>
      <c r="K325" s="11"/>
      <c r="L325" s="11"/>
      <c r="M325" s="11"/>
      <c r="N325" s="11"/>
      <c r="O325" s="14"/>
      <c r="P325" s="14"/>
      <c r="Q325" s="14"/>
      <c r="R325" s="14"/>
      <c r="S325" s="14"/>
      <c r="T325" s="14"/>
      <c r="V325" s="22">
        <f t="shared" si="165"/>
        <v>0</v>
      </c>
      <c r="W325" s="22">
        <f t="shared" si="165"/>
        <v>0</v>
      </c>
      <c r="X325" s="22">
        <f t="shared" si="165"/>
        <v>0</v>
      </c>
      <c r="Y325" s="22">
        <f t="shared" si="165"/>
        <v>0</v>
      </c>
      <c r="Z325" s="22">
        <f t="shared" si="165"/>
        <v>0</v>
      </c>
      <c r="AA325" s="22">
        <f t="shared" si="165"/>
        <v>0</v>
      </c>
      <c r="AB325" s="1"/>
      <c r="AC325" s="5">
        <f t="shared" si="144"/>
        <v>0</v>
      </c>
      <c r="AD325" s="5">
        <f t="shared" si="145"/>
        <v>0</v>
      </c>
      <c r="AE325" s="5">
        <f t="shared" si="146"/>
        <v>0</v>
      </c>
      <c r="AF325" s="5">
        <f t="shared" si="147"/>
        <v>0</v>
      </c>
      <c r="AG325" s="5">
        <f t="shared" si="148"/>
        <v>0</v>
      </c>
      <c r="AH325" s="5">
        <f t="shared" si="149"/>
        <v>0</v>
      </c>
      <c r="AI325" s="5">
        <f t="shared" si="150"/>
        <v>0</v>
      </c>
      <c r="AJ325" s="5">
        <f t="shared" si="151"/>
        <v>0</v>
      </c>
      <c r="AK325" s="5">
        <f t="shared" si="152"/>
        <v>0</v>
      </c>
      <c r="AL325" s="5">
        <f t="shared" si="153"/>
        <v>0</v>
      </c>
      <c r="AM325" s="5">
        <f t="shared" si="154"/>
        <v>0</v>
      </c>
      <c r="AN325" s="5">
        <f t="shared" si="155"/>
        <v>0</v>
      </c>
      <c r="AO325" s="5">
        <f t="shared" si="156"/>
        <v>0</v>
      </c>
      <c r="AP325" s="5">
        <f t="shared" si="157"/>
        <v>0</v>
      </c>
      <c r="AQ325" s="5">
        <f t="shared" si="158"/>
        <v>0</v>
      </c>
      <c r="AR325" s="5">
        <f t="shared" si="159"/>
        <v>0</v>
      </c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CB325" s="47"/>
    </row>
    <row r="326" spans="2:80" ht="15" hidden="1" outlineLevel="1" x14ac:dyDescent="0.2">
      <c r="B326" s="18">
        <f t="shared" si="166"/>
        <v>45355</v>
      </c>
      <c r="C326" s="17" t="s">
        <v>1</v>
      </c>
      <c r="D326" s="19">
        <f t="shared" si="167"/>
        <v>45361</v>
      </c>
      <c r="E326" s="20">
        <f t="shared" si="168"/>
        <v>3</v>
      </c>
      <c r="F326" s="21">
        <f t="shared" si="169"/>
        <v>2024</v>
      </c>
      <c r="G326" s="11">
        <f t="shared" ref="G326:H341" si="170">G325</f>
        <v>22</v>
      </c>
      <c r="H326" s="10">
        <f t="shared" si="170"/>
        <v>66</v>
      </c>
      <c r="I326" s="11"/>
      <c r="J326" s="11"/>
      <c r="K326" s="11"/>
      <c r="L326" s="11"/>
      <c r="M326" s="11"/>
      <c r="N326" s="11"/>
      <c r="O326" s="14"/>
      <c r="P326" s="14"/>
      <c r="Q326" s="14"/>
      <c r="R326" s="14"/>
      <c r="S326" s="14"/>
      <c r="T326" s="14"/>
      <c r="V326" s="22">
        <f t="shared" si="165"/>
        <v>0</v>
      </c>
      <c r="W326" s="22">
        <f t="shared" si="165"/>
        <v>0</v>
      </c>
      <c r="X326" s="22">
        <f t="shared" si="165"/>
        <v>0</v>
      </c>
      <c r="Y326" s="22">
        <f t="shared" si="165"/>
        <v>0</v>
      </c>
      <c r="Z326" s="22">
        <f t="shared" si="165"/>
        <v>0</v>
      </c>
      <c r="AA326" s="22">
        <f t="shared" si="165"/>
        <v>0</v>
      </c>
      <c r="AB326" s="1"/>
      <c r="AC326" s="5">
        <f t="shared" si="144"/>
        <v>0</v>
      </c>
      <c r="AD326" s="5">
        <f t="shared" si="145"/>
        <v>0</v>
      </c>
      <c r="AE326" s="5">
        <f t="shared" si="146"/>
        <v>0</v>
      </c>
      <c r="AF326" s="5">
        <f t="shared" si="147"/>
        <v>0</v>
      </c>
      <c r="AG326" s="5">
        <f t="shared" si="148"/>
        <v>0</v>
      </c>
      <c r="AH326" s="5">
        <f t="shared" si="149"/>
        <v>0</v>
      </c>
      <c r="AI326" s="5">
        <f t="shared" si="150"/>
        <v>0</v>
      </c>
      <c r="AJ326" s="5">
        <f t="shared" si="151"/>
        <v>0</v>
      </c>
      <c r="AK326" s="5">
        <f t="shared" si="152"/>
        <v>0</v>
      </c>
      <c r="AL326" s="5">
        <f t="shared" si="153"/>
        <v>0</v>
      </c>
      <c r="AM326" s="5">
        <f t="shared" si="154"/>
        <v>0</v>
      </c>
      <c r="AN326" s="5">
        <f t="shared" si="155"/>
        <v>0</v>
      </c>
      <c r="AO326" s="5">
        <f t="shared" si="156"/>
        <v>0</v>
      </c>
      <c r="AP326" s="5">
        <f t="shared" si="157"/>
        <v>0</v>
      </c>
      <c r="AQ326" s="5">
        <f t="shared" si="158"/>
        <v>0</v>
      </c>
      <c r="AR326" s="5">
        <f t="shared" si="159"/>
        <v>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CB326" s="47"/>
    </row>
    <row r="327" spans="2:80" ht="15" hidden="1" outlineLevel="1" x14ac:dyDescent="0.2">
      <c r="B327" s="18">
        <f t="shared" si="166"/>
        <v>45362</v>
      </c>
      <c r="C327" s="17" t="s">
        <v>1</v>
      </c>
      <c r="D327" s="19">
        <f t="shared" si="167"/>
        <v>45368</v>
      </c>
      <c r="E327" s="20">
        <f t="shared" si="168"/>
        <v>3</v>
      </c>
      <c r="F327" s="21">
        <f t="shared" si="169"/>
        <v>2024</v>
      </c>
      <c r="G327" s="11">
        <f t="shared" si="170"/>
        <v>22</v>
      </c>
      <c r="H327" s="10">
        <f t="shared" si="170"/>
        <v>66</v>
      </c>
      <c r="I327" s="11"/>
      <c r="J327" s="11"/>
      <c r="K327" s="11"/>
      <c r="L327" s="11"/>
      <c r="M327" s="11"/>
      <c r="N327" s="11"/>
      <c r="O327" s="14"/>
      <c r="P327" s="14"/>
      <c r="Q327" s="14"/>
      <c r="R327" s="14"/>
      <c r="S327" s="14"/>
      <c r="T327" s="14"/>
      <c r="V327" s="22">
        <f t="shared" si="165"/>
        <v>0</v>
      </c>
      <c r="W327" s="22">
        <f t="shared" si="165"/>
        <v>0</v>
      </c>
      <c r="X327" s="22">
        <f t="shared" si="165"/>
        <v>0</v>
      </c>
      <c r="Y327" s="22">
        <f t="shared" si="165"/>
        <v>0</v>
      </c>
      <c r="Z327" s="22">
        <f t="shared" si="165"/>
        <v>0</v>
      </c>
      <c r="AA327" s="22">
        <f t="shared" si="165"/>
        <v>0</v>
      </c>
      <c r="AB327" s="1"/>
      <c r="AC327" s="5">
        <f t="shared" si="144"/>
        <v>0</v>
      </c>
      <c r="AD327" s="5">
        <f t="shared" si="145"/>
        <v>0</v>
      </c>
      <c r="AE327" s="5">
        <f t="shared" si="146"/>
        <v>0</v>
      </c>
      <c r="AF327" s="5">
        <f t="shared" si="147"/>
        <v>0</v>
      </c>
      <c r="AG327" s="5">
        <f t="shared" si="148"/>
        <v>0</v>
      </c>
      <c r="AH327" s="5">
        <f t="shared" si="149"/>
        <v>0</v>
      </c>
      <c r="AI327" s="5">
        <f t="shared" si="150"/>
        <v>0</v>
      </c>
      <c r="AJ327" s="5">
        <f t="shared" si="151"/>
        <v>0</v>
      </c>
      <c r="AK327" s="5">
        <f t="shared" si="152"/>
        <v>0</v>
      </c>
      <c r="AL327" s="5">
        <f t="shared" si="153"/>
        <v>0</v>
      </c>
      <c r="AM327" s="5">
        <f t="shared" si="154"/>
        <v>0</v>
      </c>
      <c r="AN327" s="5">
        <f t="shared" si="155"/>
        <v>0</v>
      </c>
      <c r="AO327" s="5">
        <f t="shared" si="156"/>
        <v>0</v>
      </c>
      <c r="AP327" s="5">
        <f t="shared" si="157"/>
        <v>0</v>
      </c>
      <c r="AQ327" s="5">
        <f t="shared" si="158"/>
        <v>0</v>
      </c>
      <c r="AR327" s="5">
        <f t="shared" si="159"/>
        <v>0</v>
      </c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CB327" s="47"/>
    </row>
    <row r="328" spans="2:80" ht="15" hidden="1" outlineLevel="1" x14ac:dyDescent="0.2">
      <c r="B328" s="18">
        <f t="shared" si="166"/>
        <v>45369</v>
      </c>
      <c r="C328" s="17" t="s">
        <v>1</v>
      </c>
      <c r="D328" s="19">
        <f t="shared" si="167"/>
        <v>45375</v>
      </c>
      <c r="E328" s="20">
        <f t="shared" si="168"/>
        <v>3</v>
      </c>
      <c r="F328" s="21">
        <f t="shared" si="169"/>
        <v>2024</v>
      </c>
      <c r="G328" s="11">
        <f t="shared" si="170"/>
        <v>22</v>
      </c>
      <c r="H328" s="10">
        <f t="shared" si="170"/>
        <v>66</v>
      </c>
      <c r="I328" s="11"/>
      <c r="J328" s="11"/>
      <c r="K328" s="11"/>
      <c r="L328" s="11"/>
      <c r="M328" s="11"/>
      <c r="N328" s="11"/>
      <c r="O328" s="14"/>
      <c r="P328" s="14"/>
      <c r="Q328" s="14"/>
      <c r="R328" s="14"/>
      <c r="S328" s="14"/>
      <c r="T328" s="14"/>
      <c r="V328" s="22">
        <f t="shared" si="165"/>
        <v>0</v>
      </c>
      <c r="W328" s="22">
        <f t="shared" si="165"/>
        <v>0</v>
      </c>
      <c r="X328" s="22">
        <f t="shared" si="165"/>
        <v>0</v>
      </c>
      <c r="Y328" s="22">
        <f t="shared" si="165"/>
        <v>0</v>
      </c>
      <c r="Z328" s="22">
        <f t="shared" si="165"/>
        <v>0</v>
      </c>
      <c r="AA328" s="22">
        <f t="shared" si="165"/>
        <v>0</v>
      </c>
      <c r="AB328" s="1"/>
      <c r="AC328" s="5">
        <f t="shared" si="144"/>
        <v>0</v>
      </c>
      <c r="AD328" s="5">
        <f t="shared" si="145"/>
        <v>0</v>
      </c>
      <c r="AE328" s="5">
        <f t="shared" si="146"/>
        <v>0</v>
      </c>
      <c r="AF328" s="5">
        <f t="shared" si="147"/>
        <v>0</v>
      </c>
      <c r="AG328" s="5">
        <f t="shared" si="148"/>
        <v>0</v>
      </c>
      <c r="AH328" s="5">
        <f t="shared" si="149"/>
        <v>0</v>
      </c>
      <c r="AI328" s="5">
        <f t="shared" si="150"/>
        <v>0</v>
      </c>
      <c r="AJ328" s="5">
        <f t="shared" si="151"/>
        <v>0</v>
      </c>
      <c r="AK328" s="5">
        <f t="shared" si="152"/>
        <v>0</v>
      </c>
      <c r="AL328" s="5">
        <f t="shared" si="153"/>
        <v>0</v>
      </c>
      <c r="AM328" s="5">
        <f t="shared" si="154"/>
        <v>0</v>
      </c>
      <c r="AN328" s="5">
        <f t="shared" si="155"/>
        <v>0</v>
      </c>
      <c r="AO328" s="5">
        <f t="shared" si="156"/>
        <v>0</v>
      </c>
      <c r="AP328" s="5">
        <f t="shared" si="157"/>
        <v>0</v>
      </c>
      <c r="AQ328" s="5">
        <f t="shared" si="158"/>
        <v>0</v>
      </c>
      <c r="AR328" s="5">
        <f t="shared" si="159"/>
        <v>0</v>
      </c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CB328" s="47"/>
    </row>
    <row r="329" spans="2:80" ht="15" hidden="1" outlineLevel="1" x14ac:dyDescent="0.2">
      <c r="B329" s="18">
        <f t="shared" si="166"/>
        <v>45376</v>
      </c>
      <c r="C329" s="17" t="s">
        <v>1</v>
      </c>
      <c r="D329" s="19">
        <f t="shared" si="167"/>
        <v>45382</v>
      </c>
      <c r="E329" s="20">
        <f t="shared" si="168"/>
        <v>3</v>
      </c>
      <c r="F329" s="21">
        <f t="shared" si="169"/>
        <v>2024</v>
      </c>
      <c r="G329" s="11">
        <f t="shared" si="170"/>
        <v>22</v>
      </c>
      <c r="H329" s="10">
        <f t="shared" si="170"/>
        <v>66</v>
      </c>
      <c r="I329" s="11"/>
      <c r="J329" s="11"/>
      <c r="K329" s="11"/>
      <c r="L329" s="11"/>
      <c r="M329" s="11"/>
      <c r="N329" s="11"/>
      <c r="O329" s="14"/>
      <c r="P329" s="14"/>
      <c r="Q329" s="14"/>
      <c r="R329" s="14"/>
      <c r="S329" s="14"/>
      <c r="T329" s="14"/>
      <c r="V329" s="22">
        <f t="shared" si="165"/>
        <v>0</v>
      </c>
      <c r="W329" s="22">
        <f t="shared" si="165"/>
        <v>0</v>
      </c>
      <c r="X329" s="22">
        <f t="shared" si="165"/>
        <v>0</v>
      </c>
      <c r="Y329" s="22">
        <f t="shared" si="165"/>
        <v>0</v>
      </c>
      <c r="Z329" s="22">
        <f t="shared" si="165"/>
        <v>0</v>
      </c>
      <c r="AA329" s="22">
        <f t="shared" si="165"/>
        <v>0</v>
      </c>
      <c r="AB329" s="1"/>
      <c r="AC329" s="5">
        <f t="shared" si="144"/>
        <v>0</v>
      </c>
      <c r="AD329" s="5">
        <f t="shared" si="145"/>
        <v>0</v>
      </c>
      <c r="AE329" s="5">
        <f t="shared" si="146"/>
        <v>0</v>
      </c>
      <c r="AF329" s="5">
        <f t="shared" si="147"/>
        <v>0</v>
      </c>
      <c r="AG329" s="5">
        <f t="shared" si="148"/>
        <v>0</v>
      </c>
      <c r="AH329" s="5">
        <f t="shared" si="149"/>
        <v>0</v>
      </c>
      <c r="AI329" s="5">
        <f t="shared" si="150"/>
        <v>0</v>
      </c>
      <c r="AJ329" s="5">
        <f t="shared" si="151"/>
        <v>0</v>
      </c>
      <c r="AK329" s="5">
        <f t="shared" si="152"/>
        <v>0</v>
      </c>
      <c r="AL329" s="5">
        <f t="shared" si="153"/>
        <v>0</v>
      </c>
      <c r="AM329" s="5">
        <f t="shared" si="154"/>
        <v>0</v>
      </c>
      <c r="AN329" s="5">
        <f t="shared" si="155"/>
        <v>0</v>
      </c>
      <c r="AO329" s="5">
        <f t="shared" si="156"/>
        <v>0</v>
      </c>
      <c r="AP329" s="5">
        <f t="shared" si="157"/>
        <v>0</v>
      </c>
      <c r="AQ329" s="5">
        <f t="shared" si="158"/>
        <v>0</v>
      </c>
      <c r="AR329" s="5">
        <f t="shared" si="159"/>
        <v>0</v>
      </c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CB329" s="47"/>
    </row>
    <row r="330" spans="2:80" ht="15" hidden="1" outlineLevel="1" x14ac:dyDescent="0.2">
      <c r="B330" s="18">
        <f t="shared" si="166"/>
        <v>45383</v>
      </c>
      <c r="C330" s="17" t="s">
        <v>1</v>
      </c>
      <c r="D330" s="19">
        <f t="shared" si="167"/>
        <v>45389</v>
      </c>
      <c r="E330" s="20">
        <f t="shared" si="168"/>
        <v>4</v>
      </c>
      <c r="F330" s="21">
        <f t="shared" si="169"/>
        <v>2024</v>
      </c>
      <c r="G330" s="11">
        <f t="shared" si="170"/>
        <v>22</v>
      </c>
      <c r="H330" s="10">
        <f t="shared" si="170"/>
        <v>66</v>
      </c>
      <c r="I330" s="11"/>
      <c r="J330" s="11"/>
      <c r="K330" s="11"/>
      <c r="L330" s="11"/>
      <c r="M330" s="11"/>
      <c r="N330" s="11"/>
      <c r="O330" s="14"/>
      <c r="P330" s="14"/>
      <c r="Q330" s="14"/>
      <c r="R330" s="14"/>
      <c r="S330" s="14"/>
      <c r="T330" s="14"/>
      <c r="V330" s="22">
        <f t="shared" si="165"/>
        <v>0</v>
      </c>
      <c r="W330" s="22">
        <f t="shared" si="165"/>
        <v>0</v>
      </c>
      <c r="X330" s="22">
        <f t="shared" si="165"/>
        <v>0</v>
      </c>
      <c r="Y330" s="22">
        <f t="shared" si="165"/>
        <v>0</v>
      </c>
      <c r="Z330" s="22">
        <f t="shared" si="165"/>
        <v>0</v>
      </c>
      <c r="AA330" s="22">
        <f t="shared" si="165"/>
        <v>0</v>
      </c>
      <c r="AB330" s="1"/>
      <c r="AC330" s="5">
        <f t="shared" si="144"/>
        <v>0</v>
      </c>
      <c r="AD330" s="5">
        <f t="shared" si="145"/>
        <v>0</v>
      </c>
      <c r="AE330" s="5">
        <f t="shared" si="146"/>
        <v>0</v>
      </c>
      <c r="AF330" s="5">
        <f t="shared" si="147"/>
        <v>0</v>
      </c>
      <c r="AG330" s="5">
        <f t="shared" si="148"/>
        <v>0</v>
      </c>
      <c r="AH330" s="5">
        <f t="shared" si="149"/>
        <v>0</v>
      </c>
      <c r="AI330" s="5">
        <f t="shared" si="150"/>
        <v>0</v>
      </c>
      <c r="AJ330" s="5">
        <f t="shared" si="151"/>
        <v>0</v>
      </c>
      <c r="AK330" s="5">
        <f t="shared" si="152"/>
        <v>0</v>
      </c>
      <c r="AL330" s="5">
        <f t="shared" si="153"/>
        <v>0</v>
      </c>
      <c r="AM330" s="5">
        <f t="shared" si="154"/>
        <v>0</v>
      </c>
      <c r="AN330" s="5">
        <f t="shared" si="155"/>
        <v>0</v>
      </c>
      <c r="AO330" s="5">
        <f t="shared" si="156"/>
        <v>0</v>
      </c>
      <c r="AP330" s="5">
        <f t="shared" si="157"/>
        <v>0</v>
      </c>
      <c r="AQ330" s="5">
        <f t="shared" si="158"/>
        <v>0</v>
      </c>
      <c r="AR330" s="5">
        <f t="shared" si="159"/>
        <v>0</v>
      </c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CB330" s="47"/>
    </row>
    <row r="331" spans="2:80" ht="15" hidden="1" outlineLevel="1" x14ac:dyDescent="0.2">
      <c r="B331" s="18">
        <f t="shared" si="166"/>
        <v>45390</v>
      </c>
      <c r="C331" s="17" t="s">
        <v>1</v>
      </c>
      <c r="D331" s="19">
        <f t="shared" si="167"/>
        <v>45396</v>
      </c>
      <c r="E331" s="20">
        <f t="shared" si="168"/>
        <v>4</v>
      </c>
      <c r="F331" s="21">
        <f t="shared" si="169"/>
        <v>2024</v>
      </c>
      <c r="G331" s="11">
        <f t="shared" si="170"/>
        <v>22</v>
      </c>
      <c r="H331" s="10">
        <f t="shared" si="170"/>
        <v>66</v>
      </c>
      <c r="I331" s="11"/>
      <c r="J331" s="11"/>
      <c r="K331" s="11"/>
      <c r="L331" s="11"/>
      <c r="M331" s="11"/>
      <c r="N331" s="11"/>
      <c r="O331" s="14"/>
      <c r="P331" s="14"/>
      <c r="Q331" s="14"/>
      <c r="R331" s="14"/>
      <c r="S331" s="14"/>
      <c r="T331" s="14"/>
      <c r="V331" s="22">
        <f t="shared" si="165"/>
        <v>0</v>
      </c>
      <c r="W331" s="22">
        <f t="shared" si="165"/>
        <v>0</v>
      </c>
      <c r="X331" s="22">
        <f t="shared" si="165"/>
        <v>0</v>
      </c>
      <c r="Y331" s="22">
        <f t="shared" si="165"/>
        <v>0</v>
      </c>
      <c r="Z331" s="22">
        <f t="shared" si="165"/>
        <v>0</v>
      </c>
      <c r="AA331" s="22">
        <f t="shared" si="165"/>
        <v>0</v>
      </c>
      <c r="AB331" s="1"/>
      <c r="AC331" s="5">
        <f t="shared" si="144"/>
        <v>0</v>
      </c>
      <c r="AD331" s="5">
        <f t="shared" si="145"/>
        <v>0</v>
      </c>
      <c r="AE331" s="5">
        <f t="shared" si="146"/>
        <v>0</v>
      </c>
      <c r="AF331" s="5">
        <f t="shared" si="147"/>
        <v>0</v>
      </c>
      <c r="AG331" s="5">
        <f t="shared" si="148"/>
        <v>0</v>
      </c>
      <c r="AH331" s="5">
        <f t="shared" si="149"/>
        <v>0</v>
      </c>
      <c r="AI331" s="5">
        <f t="shared" si="150"/>
        <v>0</v>
      </c>
      <c r="AJ331" s="5">
        <f t="shared" si="151"/>
        <v>0</v>
      </c>
      <c r="AK331" s="5">
        <f t="shared" si="152"/>
        <v>0</v>
      </c>
      <c r="AL331" s="5">
        <f t="shared" si="153"/>
        <v>0</v>
      </c>
      <c r="AM331" s="5">
        <f t="shared" si="154"/>
        <v>0</v>
      </c>
      <c r="AN331" s="5">
        <f t="shared" si="155"/>
        <v>0</v>
      </c>
      <c r="AO331" s="5">
        <f t="shared" si="156"/>
        <v>0</v>
      </c>
      <c r="AP331" s="5">
        <f t="shared" si="157"/>
        <v>0</v>
      </c>
      <c r="AQ331" s="5">
        <f t="shared" si="158"/>
        <v>0</v>
      </c>
      <c r="AR331" s="5">
        <f t="shared" si="159"/>
        <v>0</v>
      </c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CB331" s="47"/>
    </row>
    <row r="332" spans="2:80" ht="15" hidden="1" outlineLevel="1" x14ac:dyDescent="0.2">
      <c r="B332" s="18">
        <f t="shared" si="166"/>
        <v>45397</v>
      </c>
      <c r="C332" s="17" t="s">
        <v>1</v>
      </c>
      <c r="D332" s="19">
        <f t="shared" si="167"/>
        <v>45403</v>
      </c>
      <c r="E332" s="20">
        <f t="shared" si="168"/>
        <v>4</v>
      </c>
      <c r="F332" s="21">
        <f t="shared" si="169"/>
        <v>2024</v>
      </c>
      <c r="G332" s="11">
        <f t="shared" si="170"/>
        <v>22</v>
      </c>
      <c r="H332" s="10">
        <f t="shared" si="170"/>
        <v>66</v>
      </c>
      <c r="I332" s="11"/>
      <c r="J332" s="11"/>
      <c r="K332" s="11"/>
      <c r="L332" s="11"/>
      <c r="M332" s="11"/>
      <c r="N332" s="11"/>
      <c r="O332" s="14"/>
      <c r="P332" s="14"/>
      <c r="Q332" s="14"/>
      <c r="R332" s="14"/>
      <c r="S332" s="14"/>
      <c r="T332" s="14"/>
      <c r="V332" s="22">
        <f t="shared" si="165"/>
        <v>0</v>
      </c>
      <c r="W332" s="22">
        <f t="shared" si="165"/>
        <v>0</v>
      </c>
      <c r="X332" s="22">
        <f t="shared" si="165"/>
        <v>0</v>
      </c>
      <c r="Y332" s="22">
        <f t="shared" si="165"/>
        <v>0</v>
      </c>
      <c r="Z332" s="22">
        <f t="shared" si="165"/>
        <v>0</v>
      </c>
      <c r="AA332" s="22">
        <f t="shared" si="165"/>
        <v>0</v>
      </c>
      <c r="AB332" s="1"/>
      <c r="AC332" s="5">
        <f t="shared" si="144"/>
        <v>0</v>
      </c>
      <c r="AD332" s="5">
        <f t="shared" si="145"/>
        <v>0</v>
      </c>
      <c r="AE332" s="5">
        <f t="shared" si="146"/>
        <v>0</v>
      </c>
      <c r="AF332" s="5">
        <f t="shared" si="147"/>
        <v>0</v>
      </c>
      <c r="AG332" s="5">
        <f t="shared" si="148"/>
        <v>0</v>
      </c>
      <c r="AH332" s="5">
        <f t="shared" si="149"/>
        <v>0</v>
      </c>
      <c r="AI332" s="5">
        <f t="shared" si="150"/>
        <v>0</v>
      </c>
      <c r="AJ332" s="5">
        <f t="shared" si="151"/>
        <v>0</v>
      </c>
      <c r="AK332" s="5">
        <f t="shared" si="152"/>
        <v>0</v>
      </c>
      <c r="AL332" s="5">
        <f t="shared" si="153"/>
        <v>0</v>
      </c>
      <c r="AM332" s="5">
        <f t="shared" si="154"/>
        <v>0</v>
      </c>
      <c r="AN332" s="5">
        <f t="shared" si="155"/>
        <v>0</v>
      </c>
      <c r="AO332" s="5">
        <f t="shared" si="156"/>
        <v>0</v>
      </c>
      <c r="AP332" s="5">
        <f t="shared" si="157"/>
        <v>0</v>
      </c>
      <c r="AQ332" s="5">
        <f t="shared" si="158"/>
        <v>0</v>
      </c>
      <c r="AR332" s="5">
        <f t="shared" si="159"/>
        <v>0</v>
      </c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CB332" s="47"/>
    </row>
    <row r="333" spans="2:80" ht="15" hidden="1" outlineLevel="1" x14ac:dyDescent="0.2">
      <c r="B333" s="18">
        <f t="shared" si="166"/>
        <v>45404</v>
      </c>
      <c r="C333" s="17" t="s">
        <v>1</v>
      </c>
      <c r="D333" s="19">
        <f t="shared" si="167"/>
        <v>45410</v>
      </c>
      <c r="E333" s="20">
        <f t="shared" si="168"/>
        <v>4</v>
      </c>
      <c r="F333" s="21">
        <f t="shared" si="169"/>
        <v>2024</v>
      </c>
      <c r="G333" s="11">
        <f t="shared" si="170"/>
        <v>22</v>
      </c>
      <c r="H333" s="10">
        <f t="shared" si="170"/>
        <v>66</v>
      </c>
      <c r="I333" s="11"/>
      <c r="J333" s="11"/>
      <c r="K333" s="11"/>
      <c r="L333" s="11"/>
      <c r="M333" s="11"/>
      <c r="N333" s="11"/>
      <c r="O333" s="14"/>
      <c r="P333" s="14"/>
      <c r="Q333" s="14"/>
      <c r="R333" s="14"/>
      <c r="S333" s="14"/>
      <c r="T333" s="14"/>
      <c r="V333" s="22">
        <f t="shared" si="165"/>
        <v>0</v>
      </c>
      <c r="W333" s="22">
        <f t="shared" si="165"/>
        <v>0</v>
      </c>
      <c r="X333" s="22">
        <f t="shared" si="165"/>
        <v>0</v>
      </c>
      <c r="Y333" s="22">
        <f t="shared" si="165"/>
        <v>0</v>
      </c>
      <c r="Z333" s="22">
        <f t="shared" si="165"/>
        <v>0</v>
      </c>
      <c r="AA333" s="22">
        <f t="shared" si="165"/>
        <v>0</v>
      </c>
      <c r="AB333" s="1"/>
      <c r="AC333" s="5">
        <f t="shared" si="144"/>
        <v>0</v>
      </c>
      <c r="AD333" s="5">
        <f t="shared" si="145"/>
        <v>0</v>
      </c>
      <c r="AE333" s="5">
        <f t="shared" si="146"/>
        <v>0</v>
      </c>
      <c r="AF333" s="5">
        <f t="shared" si="147"/>
        <v>0</v>
      </c>
      <c r="AG333" s="5">
        <f t="shared" si="148"/>
        <v>0</v>
      </c>
      <c r="AH333" s="5">
        <f t="shared" si="149"/>
        <v>0</v>
      </c>
      <c r="AI333" s="5">
        <f t="shared" si="150"/>
        <v>0</v>
      </c>
      <c r="AJ333" s="5">
        <f t="shared" si="151"/>
        <v>0</v>
      </c>
      <c r="AK333" s="5">
        <f t="shared" si="152"/>
        <v>0</v>
      </c>
      <c r="AL333" s="5">
        <f t="shared" si="153"/>
        <v>0</v>
      </c>
      <c r="AM333" s="5">
        <f t="shared" si="154"/>
        <v>0</v>
      </c>
      <c r="AN333" s="5">
        <f t="shared" si="155"/>
        <v>0</v>
      </c>
      <c r="AO333" s="5">
        <f t="shared" si="156"/>
        <v>0</v>
      </c>
      <c r="AP333" s="5">
        <f t="shared" si="157"/>
        <v>0</v>
      </c>
      <c r="AQ333" s="5">
        <f t="shared" si="158"/>
        <v>0</v>
      </c>
      <c r="AR333" s="5">
        <f t="shared" si="159"/>
        <v>0</v>
      </c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CB333" s="47"/>
    </row>
    <row r="334" spans="2:80" ht="15" hidden="1" outlineLevel="1" x14ac:dyDescent="0.2">
      <c r="B334" s="18">
        <f t="shared" si="166"/>
        <v>45411</v>
      </c>
      <c r="C334" s="17" t="s">
        <v>1</v>
      </c>
      <c r="D334" s="19">
        <f t="shared" si="167"/>
        <v>45417</v>
      </c>
      <c r="E334" s="20">
        <f t="shared" si="168"/>
        <v>4</v>
      </c>
      <c r="F334" s="21">
        <f t="shared" si="169"/>
        <v>2024</v>
      </c>
      <c r="G334" s="11">
        <f t="shared" si="170"/>
        <v>22</v>
      </c>
      <c r="H334" s="10">
        <f t="shared" si="170"/>
        <v>66</v>
      </c>
      <c r="I334" s="11"/>
      <c r="J334" s="11"/>
      <c r="K334" s="11"/>
      <c r="L334" s="11"/>
      <c r="M334" s="11"/>
      <c r="N334" s="11"/>
      <c r="O334" s="14"/>
      <c r="P334" s="14"/>
      <c r="Q334" s="14"/>
      <c r="R334" s="14"/>
      <c r="S334" s="14"/>
      <c r="T334" s="14"/>
      <c r="V334" s="22">
        <f t="shared" si="165"/>
        <v>0</v>
      </c>
      <c r="W334" s="22">
        <f t="shared" si="165"/>
        <v>0</v>
      </c>
      <c r="X334" s="22">
        <f t="shared" si="165"/>
        <v>0</v>
      </c>
      <c r="Y334" s="22">
        <f t="shared" si="165"/>
        <v>0</v>
      </c>
      <c r="Z334" s="22">
        <f t="shared" si="165"/>
        <v>0</v>
      </c>
      <c r="AA334" s="22">
        <f t="shared" si="165"/>
        <v>0</v>
      </c>
      <c r="AB334" s="1"/>
      <c r="AC334" s="5">
        <f t="shared" si="144"/>
        <v>0</v>
      </c>
      <c r="AD334" s="5">
        <f t="shared" si="145"/>
        <v>0</v>
      </c>
      <c r="AE334" s="5">
        <f t="shared" si="146"/>
        <v>0</v>
      </c>
      <c r="AF334" s="5">
        <f t="shared" si="147"/>
        <v>0</v>
      </c>
      <c r="AG334" s="5">
        <f t="shared" si="148"/>
        <v>0</v>
      </c>
      <c r="AH334" s="5">
        <f t="shared" si="149"/>
        <v>0</v>
      </c>
      <c r="AI334" s="5">
        <f t="shared" si="150"/>
        <v>0</v>
      </c>
      <c r="AJ334" s="5">
        <f t="shared" si="151"/>
        <v>0</v>
      </c>
      <c r="AK334" s="5">
        <f t="shared" si="152"/>
        <v>0</v>
      </c>
      <c r="AL334" s="5">
        <f t="shared" si="153"/>
        <v>0</v>
      </c>
      <c r="AM334" s="5">
        <f t="shared" si="154"/>
        <v>0</v>
      </c>
      <c r="AN334" s="5">
        <f t="shared" si="155"/>
        <v>0</v>
      </c>
      <c r="AO334" s="5">
        <f t="shared" si="156"/>
        <v>0</v>
      </c>
      <c r="AP334" s="5">
        <f t="shared" si="157"/>
        <v>0</v>
      </c>
      <c r="AQ334" s="5">
        <f t="shared" si="158"/>
        <v>0</v>
      </c>
      <c r="AR334" s="5">
        <f t="shared" si="159"/>
        <v>0</v>
      </c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CB334" s="47"/>
    </row>
    <row r="335" spans="2:80" ht="15" hidden="1" outlineLevel="1" x14ac:dyDescent="0.2">
      <c r="B335" s="18">
        <f t="shared" si="166"/>
        <v>45418</v>
      </c>
      <c r="C335" s="17" t="s">
        <v>1</v>
      </c>
      <c r="D335" s="19">
        <f t="shared" si="167"/>
        <v>45424</v>
      </c>
      <c r="E335" s="20">
        <f t="shared" si="168"/>
        <v>5</v>
      </c>
      <c r="F335" s="21">
        <f t="shared" si="169"/>
        <v>2024</v>
      </c>
      <c r="G335" s="11">
        <f t="shared" si="170"/>
        <v>22</v>
      </c>
      <c r="H335" s="10">
        <f t="shared" si="170"/>
        <v>66</v>
      </c>
      <c r="I335" s="11"/>
      <c r="J335" s="11"/>
      <c r="K335" s="11"/>
      <c r="L335" s="11"/>
      <c r="M335" s="11"/>
      <c r="N335" s="11"/>
      <c r="O335" s="14"/>
      <c r="P335" s="14"/>
      <c r="Q335" s="14"/>
      <c r="R335" s="14"/>
      <c r="S335" s="14"/>
      <c r="T335" s="14"/>
      <c r="V335" s="22">
        <f t="shared" si="165"/>
        <v>0</v>
      </c>
      <c r="W335" s="22">
        <f t="shared" si="165"/>
        <v>0</v>
      </c>
      <c r="X335" s="22">
        <f t="shared" si="165"/>
        <v>0</v>
      </c>
      <c r="Y335" s="22">
        <f t="shared" si="165"/>
        <v>0</v>
      </c>
      <c r="Z335" s="22">
        <f t="shared" si="165"/>
        <v>0</v>
      </c>
      <c r="AA335" s="22">
        <f t="shared" si="165"/>
        <v>0</v>
      </c>
      <c r="AB335" s="1"/>
      <c r="AC335" s="5">
        <f t="shared" si="144"/>
        <v>0</v>
      </c>
      <c r="AD335" s="5">
        <f t="shared" si="145"/>
        <v>0</v>
      </c>
      <c r="AE335" s="5">
        <f t="shared" si="146"/>
        <v>0</v>
      </c>
      <c r="AF335" s="5">
        <f t="shared" si="147"/>
        <v>0</v>
      </c>
      <c r="AG335" s="5">
        <f t="shared" si="148"/>
        <v>0</v>
      </c>
      <c r="AH335" s="5">
        <f t="shared" si="149"/>
        <v>0</v>
      </c>
      <c r="AI335" s="5">
        <f t="shared" si="150"/>
        <v>0</v>
      </c>
      <c r="AJ335" s="5">
        <f t="shared" si="151"/>
        <v>0</v>
      </c>
      <c r="AK335" s="5">
        <f t="shared" si="152"/>
        <v>0</v>
      </c>
      <c r="AL335" s="5">
        <f t="shared" si="153"/>
        <v>0</v>
      </c>
      <c r="AM335" s="5">
        <f t="shared" si="154"/>
        <v>0</v>
      </c>
      <c r="AN335" s="5">
        <f t="shared" si="155"/>
        <v>0</v>
      </c>
      <c r="AO335" s="5">
        <f t="shared" si="156"/>
        <v>0</v>
      </c>
      <c r="AP335" s="5">
        <f t="shared" si="157"/>
        <v>0</v>
      </c>
      <c r="AQ335" s="5">
        <f t="shared" si="158"/>
        <v>0</v>
      </c>
      <c r="AR335" s="5">
        <f t="shared" si="159"/>
        <v>0</v>
      </c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CB335" s="47"/>
    </row>
    <row r="336" spans="2:80" ht="15" hidden="1" outlineLevel="1" x14ac:dyDescent="0.2">
      <c r="B336" s="18">
        <f t="shared" si="166"/>
        <v>45425</v>
      </c>
      <c r="C336" s="17" t="s">
        <v>1</v>
      </c>
      <c r="D336" s="19">
        <f t="shared" si="167"/>
        <v>45431</v>
      </c>
      <c r="E336" s="20">
        <f t="shared" si="168"/>
        <v>5</v>
      </c>
      <c r="F336" s="21">
        <f t="shared" si="169"/>
        <v>2024</v>
      </c>
      <c r="G336" s="11">
        <f t="shared" si="170"/>
        <v>22</v>
      </c>
      <c r="H336" s="10">
        <f t="shared" si="170"/>
        <v>66</v>
      </c>
      <c r="I336" s="11"/>
      <c r="J336" s="11"/>
      <c r="K336" s="11"/>
      <c r="L336" s="11"/>
      <c r="M336" s="11"/>
      <c r="N336" s="11"/>
      <c r="O336" s="14"/>
      <c r="P336" s="14"/>
      <c r="Q336" s="14"/>
      <c r="R336" s="14"/>
      <c r="S336" s="14"/>
      <c r="T336" s="14"/>
      <c r="V336" s="22">
        <f t="shared" si="165"/>
        <v>0</v>
      </c>
      <c r="W336" s="22">
        <f t="shared" si="165"/>
        <v>0</v>
      </c>
      <c r="X336" s="22">
        <f t="shared" si="165"/>
        <v>0</v>
      </c>
      <c r="Y336" s="22">
        <f t="shared" si="165"/>
        <v>0</v>
      </c>
      <c r="Z336" s="22">
        <f t="shared" si="165"/>
        <v>0</v>
      </c>
      <c r="AA336" s="22">
        <f t="shared" si="165"/>
        <v>0</v>
      </c>
      <c r="AB336" s="1"/>
      <c r="AC336" s="5">
        <f t="shared" si="144"/>
        <v>0</v>
      </c>
      <c r="AD336" s="5">
        <f t="shared" si="145"/>
        <v>0</v>
      </c>
      <c r="AE336" s="5">
        <f t="shared" si="146"/>
        <v>0</v>
      </c>
      <c r="AF336" s="5">
        <f t="shared" si="147"/>
        <v>0</v>
      </c>
      <c r="AG336" s="5">
        <f t="shared" si="148"/>
        <v>0</v>
      </c>
      <c r="AH336" s="5">
        <f t="shared" si="149"/>
        <v>0</v>
      </c>
      <c r="AI336" s="5">
        <f t="shared" si="150"/>
        <v>0</v>
      </c>
      <c r="AJ336" s="5">
        <f t="shared" si="151"/>
        <v>0</v>
      </c>
      <c r="AK336" s="5">
        <f t="shared" si="152"/>
        <v>0</v>
      </c>
      <c r="AL336" s="5">
        <f t="shared" si="153"/>
        <v>0</v>
      </c>
      <c r="AM336" s="5">
        <f t="shared" si="154"/>
        <v>0</v>
      </c>
      <c r="AN336" s="5">
        <f t="shared" si="155"/>
        <v>0</v>
      </c>
      <c r="AO336" s="5">
        <f t="shared" si="156"/>
        <v>0</v>
      </c>
      <c r="AP336" s="5">
        <f t="shared" si="157"/>
        <v>0</v>
      </c>
      <c r="AQ336" s="5">
        <f t="shared" si="158"/>
        <v>0</v>
      </c>
      <c r="AR336" s="5">
        <f t="shared" si="159"/>
        <v>0</v>
      </c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CB336" s="47"/>
    </row>
    <row r="337" spans="2:80" ht="15" hidden="1" outlineLevel="1" x14ac:dyDescent="0.2">
      <c r="B337" s="18">
        <f t="shared" si="166"/>
        <v>45432</v>
      </c>
      <c r="C337" s="17" t="s">
        <v>1</v>
      </c>
      <c r="D337" s="19">
        <f t="shared" si="167"/>
        <v>45438</v>
      </c>
      <c r="E337" s="20">
        <f t="shared" si="168"/>
        <v>5</v>
      </c>
      <c r="F337" s="21">
        <f t="shared" si="169"/>
        <v>2024</v>
      </c>
      <c r="G337" s="11">
        <f t="shared" si="170"/>
        <v>22</v>
      </c>
      <c r="H337" s="10">
        <f t="shared" si="170"/>
        <v>66</v>
      </c>
      <c r="I337" s="11"/>
      <c r="J337" s="11"/>
      <c r="K337" s="11"/>
      <c r="L337" s="11"/>
      <c r="M337" s="11"/>
      <c r="N337" s="11"/>
      <c r="O337" s="14"/>
      <c r="P337" s="14"/>
      <c r="Q337" s="14"/>
      <c r="R337" s="14"/>
      <c r="S337" s="14"/>
      <c r="T337" s="14"/>
      <c r="V337" s="22">
        <f t="shared" si="165"/>
        <v>0</v>
      </c>
      <c r="W337" s="22">
        <f t="shared" si="165"/>
        <v>0</v>
      </c>
      <c r="X337" s="22">
        <f t="shared" si="165"/>
        <v>0</v>
      </c>
      <c r="Y337" s="22">
        <f t="shared" si="165"/>
        <v>0</v>
      </c>
      <c r="Z337" s="22">
        <f t="shared" si="165"/>
        <v>0</v>
      </c>
      <c r="AA337" s="22">
        <f t="shared" si="165"/>
        <v>0</v>
      </c>
      <c r="AB337" s="1"/>
      <c r="AC337" s="5">
        <f t="shared" si="144"/>
        <v>0</v>
      </c>
      <c r="AD337" s="5">
        <f t="shared" si="145"/>
        <v>0</v>
      </c>
      <c r="AE337" s="5">
        <f t="shared" si="146"/>
        <v>0</v>
      </c>
      <c r="AF337" s="5">
        <f t="shared" si="147"/>
        <v>0</v>
      </c>
      <c r="AG337" s="5">
        <f t="shared" si="148"/>
        <v>0</v>
      </c>
      <c r="AH337" s="5">
        <f t="shared" si="149"/>
        <v>0</v>
      </c>
      <c r="AI337" s="5">
        <f t="shared" si="150"/>
        <v>0</v>
      </c>
      <c r="AJ337" s="5">
        <f t="shared" si="151"/>
        <v>0</v>
      </c>
      <c r="AK337" s="5">
        <f t="shared" si="152"/>
        <v>0</v>
      </c>
      <c r="AL337" s="5">
        <f t="shared" si="153"/>
        <v>0</v>
      </c>
      <c r="AM337" s="5">
        <f t="shared" si="154"/>
        <v>0</v>
      </c>
      <c r="AN337" s="5">
        <f t="shared" si="155"/>
        <v>0</v>
      </c>
      <c r="AO337" s="5">
        <f t="shared" si="156"/>
        <v>0</v>
      </c>
      <c r="AP337" s="5">
        <f t="shared" si="157"/>
        <v>0</v>
      </c>
      <c r="AQ337" s="5">
        <f t="shared" si="158"/>
        <v>0</v>
      </c>
      <c r="AR337" s="5">
        <f t="shared" si="159"/>
        <v>0</v>
      </c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CB337" s="47"/>
    </row>
    <row r="338" spans="2:80" ht="15" hidden="1" outlineLevel="1" x14ac:dyDescent="0.2">
      <c r="B338" s="18">
        <f t="shared" si="166"/>
        <v>45439</v>
      </c>
      <c r="C338" s="17" t="s">
        <v>1</v>
      </c>
      <c r="D338" s="19">
        <f t="shared" si="167"/>
        <v>45445</v>
      </c>
      <c r="E338" s="20">
        <f t="shared" si="168"/>
        <v>5</v>
      </c>
      <c r="F338" s="21">
        <f t="shared" si="169"/>
        <v>2024</v>
      </c>
      <c r="G338" s="11">
        <f t="shared" si="170"/>
        <v>22</v>
      </c>
      <c r="H338" s="10">
        <f t="shared" si="170"/>
        <v>66</v>
      </c>
      <c r="I338" s="11"/>
      <c r="J338" s="11"/>
      <c r="K338" s="11"/>
      <c r="L338" s="11"/>
      <c r="M338" s="11"/>
      <c r="N338" s="11"/>
      <c r="O338" s="14"/>
      <c r="P338" s="14"/>
      <c r="Q338" s="14"/>
      <c r="R338" s="14"/>
      <c r="S338" s="14"/>
      <c r="T338" s="14"/>
      <c r="V338" s="22">
        <f t="shared" si="165"/>
        <v>0</v>
      </c>
      <c r="W338" s="22">
        <f t="shared" si="165"/>
        <v>0</v>
      </c>
      <c r="X338" s="22">
        <f t="shared" si="165"/>
        <v>0</v>
      </c>
      <c r="Y338" s="22">
        <f t="shared" si="165"/>
        <v>0</v>
      </c>
      <c r="Z338" s="22">
        <f t="shared" si="165"/>
        <v>0</v>
      </c>
      <c r="AA338" s="22">
        <f t="shared" si="165"/>
        <v>0</v>
      </c>
      <c r="AB338" s="1"/>
      <c r="AC338" s="5">
        <f t="shared" si="144"/>
        <v>0</v>
      </c>
      <c r="AD338" s="5">
        <f t="shared" si="145"/>
        <v>0</v>
      </c>
      <c r="AE338" s="5">
        <f t="shared" si="146"/>
        <v>0</v>
      </c>
      <c r="AF338" s="5">
        <f t="shared" si="147"/>
        <v>0</v>
      </c>
      <c r="AG338" s="5">
        <f t="shared" si="148"/>
        <v>0</v>
      </c>
      <c r="AH338" s="5">
        <f t="shared" si="149"/>
        <v>0</v>
      </c>
      <c r="AI338" s="5">
        <f t="shared" si="150"/>
        <v>0</v>
      </c>
      <c r="AJ338" s="5">
        <f t="shared" si="151"/>
        <v>0</v>
      </c>
      <c r="AK338" s="5">
        <f t="shared" si="152"/>
        <v>0</v>
      </c>
      <c r="AL338" s="5">
        <f t="shared" si="153"/>
        <v>0</v>
      </c>
      <c r="AM338" s="5">
        <f t="shared" si="154"/>
        <v>0</v>
      </c>
      <c r="AN338" s="5">
        <f t="shared" si="155"/>
        <v>0</v>
      </c>
      <c r="AO338" s="5">
        <f t="shared" si="156"/>
        <v>0</v>
      </c>
      <c r="AP338" s="5">
        <f t="shared" si="157"/>
        <v>0</v>
      </c>
      <c r="AQ338" s="5">
        <f t="shared" si="158"/>
        <v>0</v>
      </c>
      <c r="AR338" s="5">
        <f t="shared" si="159"/>
        <v>0</v>
      </c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CB338" s="47"/>
    </row>
    <row r="339" spans="2:80" ht="15" hidden="1" outlineLevel="1" x14ac:dyDescent="0.2">
      <c r="B339" s="18">
        <f t="shared" si="166"/>
        <v>45446</v>
      </c>
      <c r="C339" s="17" t="s">
        <v>1</v>
      </c>
      <c r="D339" s="19">
        <f t="shared" si="167"/>
        <v>45452</v>
      </c>
      <c r="E339" s="20">
        <f t="shared" si="168"/>
        <v>6</v>
      </c>
      <c r="F339" s="21">
        <f t="shared" si="169"/>
        <v>2024</v>
      </c>
      <c r="G339" s="11">
        <f t="shared" si="170"/>
        <v>22</v>
      </c>
      <c r="H339" s="10">
        <f t="shared" si="170"/>
        <v>66</v>
      </c>
      <c r="I339" s="11"/>
      <c r="J339" s="11"/>
      <c r="K339" s="11"/>
      <c r="L339" s="11"/>
      <c r="M339" s="11"/>
      <c r="N339" s="11"/>
      <c r="O339" s="14"/>
      <c r="P339" s="14"/>
      <c r="Q339" s="14"/>
      <c r="R339" s="14"/>
      <c r="S339" s="14"/>
      <c r="T339" s="14"/>
      <c r="V339" s="22">
        <f t="shared" si="165"/>
        <v>0</v>
      </c>
      <c r="W339" s="22">
        <f t="shared" si="165"/>
        <v>0</v>
      </c>
      <c r="X339" s="22">
        <f t="shared" si="165"/>
        <v>0</v>
      </c>
      <c r="Y339" s="22">
        <f t="shared" si="165"/>
        <v>0</v>
      </c>
      <c r="Z339" s="22">
        <f t="shared" si="165"/>
        <v>0</v>
      </c>
      <c r="AA339" s="22">
        <f t="shared" si="165"/>
        <v>0</v>
      </c>
      <c r="AB339" s="1"/>
      <c r="AC339" s="5">
        <f t="shared" si="144"/>
        <v>0</v>
      </c>
      <c r="AD339" s="5">
        <f t="shared" si="145"/>
        <v>0</v>
      </c>
      <c r="AE339" s="5">
        <f t="shared" si="146"/>
        <v>0</v>
      </c>
      <c r="AF339" s="5">
        <f t="shared" si="147"/>
        <v>0</v>
      </c>
      <c r="AG339" s="5">
        <f t="shared" si="148"/>
        <v>0</v>
      </c>
      <c r="AH339" s="5">
        <f t="shared" si="149"/>
        <v>0</v>
      </c>
      <c r="AI339" s="5">
        <f t="shared" si="150"/>
        <v>0</v>
      </c>
      <c r="AJ339" s="5">
        <f t="shared" si="151"/>
        <v>0</v>
      </c>
      <c r="AK339" s="5">
        <f t="shared" si="152"/>
        <v>0</v>
      </c>
      <c r="AL339" s="5">
        <f t="shared" si="153"/>
        <v>0</v>
      </c>
      <c r="AM339" s="5">
        <f t="shared" si="154"/>
        <v>0</v>
      </c>
      <c r="AN339" s="5">
        <f t="shared" si="155"/>
        <v>0</v>
      </c>
      <c r="AO339" s="5">
        <f t="shared" si="156"/>
        <v>0</v>
      </c>
      <c r="AP339" s="5">
        <f t="shared" si="157"/>
        <v>0</v>
      </c>
      <c r="AQ339" s="5">
        <f t="shared" si="158"/>
        <v>0</v>
      </c>
      <c r="AR339" s="5">
        <f t="shared" si="159"/>
        <v>0</v>
      </c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CB339" s="47"/>
    </row>
    <row r="340" spans="2:80" ht="15" hidden="1" outlineLevel="1" x14ac:dyDescent="0.2">
      <c r="B340" s="18">
        <f t="shared" si="166"/>
        <v>45453</v>
      </c>
      <c r="C340" s="17" t="s">
        <v>1</v>
      </c>
      <c r="D340" s="19">
        <f t="shared" si="167"/>
        <v>45459</v>
      </c>
      <c r="E340" s="20">
        <f t="shared" si="168"/>
        <v>6</v>
      </c>
      <c r="F340" s="21">
        <f t="shared" si="169"/>
        <v>2024</v>
      </c>
      <c r="G340" s="11">
        <f t="shared" si="170"/>
        <v>22</v>
      </c>
      <c r="H340" s="10">
        <f t="shared" si="170"/>
        <v>66</v>
      </c>
      <c r="I340" s="11"/>
      <c r="J340" s="11"/>
      <c r="K340" s="11"/>
      <c r="L340" s="11"/>
      <c r="M340" s="11"/>
      <c r="N340" s="11"/>
      <c r="O340" s="14"/>
      <c r="P340" s="14"/>
      <c r="Q340" s="14"/>
      <c r="R340" s="14"/>
      <c r="S340" s="14"/>
      <c r="T340" s="14"/>
      <c r="V340" s="22">
        <f t="shared" ref="V340:AA355" si="171">IF(I340&gt;0,I340,IF(O340=1,$B340+2,IF(O339=1,1,IF(O339=2,0,IF(V339=$G339,0,(IF(V339&gt;=1,V339+1,0)))))))</f>
        <v>0</v>
      </c>
      <c r="W340" s="22">
        <f t="shared" si="171"/>
        <v>0</v>
      </c>
      <c r="X340" s="22">
        <f t="shared" si="171"/>
        <v>0</v>
      </c>
      <c r="Y340" s="22">
        <f t="shared" si="171"/>
        <v>0</v>
      </c>
      <c r="Z340" s="22">
        <f t="shared" si="171"/>
        <v>0</v>
      </c>
      <c r="AA340" s="22">
        <f t="shared" si="171"/>
        <v>0</v>
      </c>
      <c r="AB340" s="1"/>
      <c r="AC340" s="5">
        <f t="shared" si="144"/>
        <v>0</v>
      </c>
      <c r="AD340" s="5">
        <f t="shared" si="145"/>
        <v>0</v>
      </c>
      <c r="AE340" s="5">
        <f t="shared" si="146"/>
        <v>0</v>
      </c>
      <c r="AF340" s="5">
        <f t="shared" si="147"/>
        <v>0</v>
      </c>
      <c r="AG340" s="5">
        <f t="shared" si="148"/>
        <v>0</v>
      </c>
      <c r="AH340" s="5">
        <f t="shared" si="149"/>
        <v>0</v>
      </c>
      <c r="AI340" s="5">
        <f t="shared" si="150"/>
        <v>0</v>
      </c>
      <c r="AJ340" s="5">
        <f t="shared" si="151"/>
        <v>0</v>
      </c>
      <c r="AK340" s="5">
        <f t="shared" si="152"/>
        <v>0</v>
      </c>
      <c r="AL340" s="5">
        <f t="shared" si="153"/>
        <v>0</v>
      </c>
      <c r="AM340" s="5">
        <f t="shared" si="154"/>
        <v>0</v>
      </c>
      <c r="AN340" s="5">
        <f t="shared" si="155"/>
        <v>0</v>
      </c>
      <c r="AO340" s="5">
        <f t="shared" si="156"/>
        <v>0</v>
      </c>
      <c r="AP340" s="5">
        <f t="shared" si="157"/>
        <v>0</v>
      </c>
      <c r="AQ340" s="5">
        <f t="shared" si="158"/>
        <v>0</v>
      </c>
      <c r="AR340" s="5">
        <f t="shared" si="159"/>
        <v>0</v>
      </c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CB340" s="47"/>
    </row>
    <row r="341" spans="2:80" ht="15" hidden="1" outlineLevel="1" x14ac:dyDescent="0.2">
      <c r="B341" s="18">
        <f t="shared" si="166"/>
        <v>45460</v>
      </c>
      <c r="C341" s="17" t="s">
        <v>1</v>
      </c>
      <c r="D341" s="19">
        <f t="shared" si="167"/>
        <v>45466</v>
      </c>
      <c r="E341" s="20">
        <f t="shared" si="168"/>
        <v>6</v>
      </c>
      <c r="F341" s="21">
        <f t="shared" si="169"/>
        <v>2024</v>
      </c>
      <c r="G341" s="11">
        <f t="shared" si="170"/>
        <v>22</v>
      </c>
      <c r="H341" s="10">
        <f t="shared" si="170"/>
        <v>66</v>
      </c>
      <c r="I341" s="11"/>
      <c r="J341" s="11"/>
      <c r="K341" s="11"/>
      <c r="L341" s="11"/>
      <c r="M341" s="11"/>
      <c r="N341" s="11"/>
      <c r="O341" s="14"/>
      <c r="P341" s="14"/>
      <c r="Q341" s="14"/>
      <c r="R341" s="14"/>
      <c r="S341" s="14"/>
      <c r="T341" s="14"/>
      <c r="V341" s="22">
        <f t="shared" si="171"/>
        <v>0</v>
      </c>
      <c r="W341" s="22">
        <f t="shared" si="171"/>
        <v>0</v>
      </c>
      <c r="X341" s="22">
        <f t="shared" si="171"/>
        <v>0</v>
      </c>
      <c r="Y341" s="22">
        <f t="shared" si="171"/>
        <v>0</v>
      </c>
      <c r="Z341" s="22">
        <f t="shared" si="171"/>
        <v>0</v>
      </c>
      <c r="AA341" s="22">
        <f t="shared" si="171"/>
        <v>0</v>
      </c>
      <c r="AB341" s="1"/>
      <c r="AC341" s="5">
        <f t="shared" si="144"/>
        <v>0</v>
      </c>
      <c r="AD341" s="5">
        <f t="shared" si="145"/>
        <v>0</v>
      </c>
      <c r="AE341" s="5">
        <f t="shared" si="146"/>
        <v>0</v>
      </c>
      <c r="AF341" s="5">
        <f t="shared" si="147"/>
        <v>0</v>
      </c>
      <c r="AG341" s="5">
        <f t="shared" si="148"/>
        <v>0</v>
      </c>
      <c r="AH341" s="5">
        <f t="shared" si="149"/>
        <v>0</v>
      </c>
      <c r="AI341" s="5">
        <f t="shared" si="150"/>
        <v>0</v>
      </c>
      <c r="AJ341" s="5">
        <f t="shared" si="151"/>
        <v>0</v>
      </c>
      <c r="AK341" s="5">
        <f t="shared" si="152"/>
        <v>0</v>
      </c>
      <c r="AL341" s="5">
        <f t="shared" si="153"/>
        <v>0</v>
      </c>
      <c r="AM341" s="5">
        <f t="shared" si="154"/>
        <v>0</v>
      </c>
      <c r="AN341" s="5">
        <f t="shared" si="155"/>
        <v>0</v>
      </c>
      <c r="AO341" s="5">
        <f t="shared" si="156"/>
        <v>0</v>
      </c>
      <c r="AP341" s="5">
        <f t="shared" si="157"/>
        <v>0</v>
      </c>
      <c r="AQ341" s="5">
        <f t="shared" si="158"/>
        <v>0</v>
      </c>
      <c r="AR341" s="5">
        <f t="shared" si="159"/>
        <v>0</v>
      </c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CB341" s="47"/>
    </row>
    <row r="342" spans="2:80" ht="15" hidden="1" outlineLevel="1" x14ac:dyDescent="0.2">
      <c r="B342" s="18">
        <f t="shared" si="166"/>
        <v>45467</v>
      </c>
      <c r="C342" s="17" t="s">
        <v>1</v>
      </c>
      <c r="D342" s="19">
        <f t="shared" si="167"/>
        <v>45473</v>
      </c>
      <c r="E342" s="20">
        <f t="shared" si="168"/>
        <v>6</v>
      </c>
      <c r="F342" s="21">
        <f t="shared" si="169"/>
        <v>2024</v>
      </c>
      <c r="G342" s="11">
        <f t="shared" ref="G342:H357" si="172">G341</f>
        <v>22</v>
      </c>
      <c r="H342" s="10">
        <f t="shared" si="172"/>
        <v>66</v>
      </c>
      <c r="I342" s="11"/>
      <c r="J342" s="11"/>
      <c r="K342" s="11"/>
      <c r="L342" s="11"/>
      <c r="M342" s="11"/>
      <c r="N342" s="11"/>
      <c r="O342" s="14"/>
      <c r="P342" s="14"/>
      <c r="Q342" s="14"/>
      <c r="R342" s="14"/>
      <c r="S342" s="14"/>
      <c r="T342" s="14"/>
      <c r="V342" s="22">
        <f t="shared" si="171"/>
        <v>0</v>
      </c>
      <c r="W342" s="22">
        <f t="shared" si="171"/>
        <v>0</v>
      </c>
      <c r="X342" s="22">
        <f t="shared" si="171"/>
        <v>0</v>
      </c>
      <c r="Y342" s="22">
        <f t="shared" si="171"/>
        <v>0</v>
      </c>
      <c r="Z342" s="22">
        <f t="shared" si="171"/>
        <v>0</v>
      </c>
      <c r="AA342" s="22">
        <f t="shared" si="171"/>
        <v>0</v>
      </c>
      <c r="AB342" s="1"/>
      <c r="AC342" s="5">
        <f t="shared" si="144"/>
        <v>0</v>
      </c>
      <c r="AD342" s="5">
        <f t="shared" si="145"/>
        <v>0</v>
      </c>
      <c r="AE342" s="5">
        <f t="shared" si="146"/>
        <v>0</v>
      </c>
      <c r="AF342" s="5">
        <f t="shared" si="147"/>
        <v>0</v>
      </c>
      <c r="AG342" s="5">
        <f t="shared" si="148"/>
        <v>0</v>
      </c>
      <c r="AH342" s="5">
        <f t="shared" si="149"/>
        <v>0</v>
      </c>
      <c r="AI342" s="5">
        <f t="shared" si="150"/>
        <v>0</v>
      </c>
      <c r="AJ342" s="5">
        <f t="shared" si="151"/>
        <v>0</v>
      </c>
      <c r="AK342" s="5">
        <f t="shared" si="152"/>
        <v>0</v>
      </c>
      <c r="AL342" s="5">
        <f t="shared" si="153"/>
        <v>0</v>
      </c>
      <c r="AM342" s="5">
        <f t="shared" si="154"/>
        <v>0</v>
      </c>
      <c r="AN342" s="5">
        <f t="shared" si="155"/>
        <v>0</v>
      </c>
      <c r="AO342" s="5">
        <f t="shared" si="156"/>
        <v>0</v>
      </c>
      <c r="AP342" s="5">
        <f t="shared" si="157"/>
        <v>0</v>
      </c>
      <c r="AQ342" s="5">
        <f t="shared" si="158"/>
        <v>0</v>
      </c>
      <c r="AR342" s="5">
        <f t="shared" si="159"/>
        <v>0</v>
      </c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CB342" s="47"/>
    </row>
    <row r="343" spans="2:80" ht="15" hidden="1" outlineLevel="1" x14ac:dyDescent="0.2">
      <c r="B343" s="18">
        <f t="shared" si="166"/>
        <v>45474</v>
      </c>
      <c r="C343" s="17" t="s">
        <v>1</v>
      </c>
      <c r="D343" s="19">
        <f t="shared" si="167"/>
        <v>45480</v>
      </c>
      <c r="E343" s="20">
        <f t="shared" si="168"/>
        <v>7</v>
      </c>
      <c r="F343" s="21">
        <f t="shared" si="169"/>
        <v>2024</v>
      </c>
      <c r="G343" s="11">
        <f t="shared" si="172"/>
        <v>22</v>
      </c>
      <c r="H343" s="10">
        <f t="shared" si="172"/>
        <v>66</v>
      </c>
      <c r="I343" s="11"/>
      <c r="J343" s="11"/>
      <c r="K343" s="11"/>
      <c r="L343" s="11"/>
      <c r="M343" s="11"/>
      <c r="N343" s="11"/>
      <c r="O343" s="14"/>
      <c r="P343" s="14"/>
      <c r="Q343" s="14"/>
      <c r="R343" s="14"/>
      <c r="S343" s="14"/>
      <c r="T343" s="14"/>
      <c r="V343" s="22">
        <f t="shared" si="171"/>
        <v>0</v>
      </c>
      <c r="W343" s="22">
        <f t="shared" si="171"/>
        <v>0</v>
      </c>
      <c r="X343" s="22">
        <f t="shared" si="171"/>
        <v>0</v>
      </c>
      <c r="Y343" s="22">
        <f t="shared" si="171"/>
        <v>0</v>
      </c>
      <c r="Z343" s="22">
        <f t="shared" si="171"/>
        <v>0</v>
      </c>
      <c r="AA343" s="22">
        <f t="shared" si="171"/>
        <v>0</v>
      </c>
      <c r="AB343" s="1"/>
      <c r="AC343" s="5">
        <f t="shared" si="144"/>
        <v>0</v>
      </c>
      <c r="AD343" s="5">
        <f t="shared" si="145"/>
        <v>0</v>
      </c>
      <c r="AE343" s="5">
        <f t="shared" si="146"/>
        <v>0</v>
      </c>
      <c r="AF343" s="5">
        <f t="shared" si="147"/>
        <v>0</v>
      </c>
      <c r="AG343" s="5">
        <f t="shared" si="148"/>
        <v>0</v>
      </c>
      <c r="AH343" s="5">
        <f t="shared" si="149"/>
        <v>0</v>
      </c>
      <c r="AI343" s="5">
        <f t="shared" si="150"/>
        <v>0</v>
      </c>
      <c r="AJ343" s="5">
        <f t="shared" si="151"/>
        <v>0</v>
      </c>
      <c r="AK343" s="5">
        <f t="shared" si="152"/>
        <v>0</v>
      </c>
      <c r="AL343" s="5">
        <f t="shared" si="153"/>
        <v>0</v>
      </c>
      <c r="AM343" s="5">
        <f t="shared" si="154"/>
        <v>0</v>
      </c>
      <c r="AN343" s="5">
        <f t="shared" si="155"/>
        <v>0</v>
      </c>
      <c r="AO343" s="5">
        <f t="shared" si="156"/>
        <v>0</v>
      </c>
      <c r="AP343" s="5">
        <f t="shared" si="157"/>
        <v>0</v>
      </c>
      <c r="AQ343" s="5">
        <f t="shared" si="158"/>
        <v>0</v>
      </c>
      <c r="AR343" s="5">
        <f t="shared" si="159"/>
        <v>0</v>
      </c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CB343" s="47"/>
    </row>
    <row r="344" spans="2:80" ht="15" hidden="1" outlineLevel="1" x14ac:dyDescent="0.2">
      <c r="B344" s="18">
        <f t="shared" si="166"/>
        <v>45481</v>
      </c>
      <c r="C344" s="17" t="s">
        <v>1</v>
      </c>
      <c r="D344" s="19">
        <f t="shared" si="167"/>
        <v>45487</v>
      </c>
      <c r="E344" s="20">
        <f t="shared" si="168"/>
        <v>7</v>
      </c>
      <c r="F344" s="21">
        <f t="shared" si="169"/>
        <v>2024</v>
      </c>
      <c r="G344" s="11">
        <f t="shared" si="172"/>
        <v>22</v>
      </c>
      <c r="H344" s="10">
        <f t="shared" si="172"/>
        <v>66</v>
      </c>
      <c r="I344" s="11"/>
      <c r="J344" s="11"/>
      <c r="K344" s="11"/>
      <c r="L344" s="11"/>
      <c r="M344" s="11"/>
      <c r="N344" s="11"/>
      <c r="O344" s="14"/>
      <c r="P344" s="14"/>
      <c r="Q344" s="14"/>
      <c r="R344" s="14"/>
      <c r="S344" s="14"/>
      <c r="T344" s="14"/>
      <c r="V344" s="22">
        <f t="shared" si="171"/>
        <v>0</v>
      </c>
      <c r="W344" s="22">
        <f t="shared" si="171"/>
        <v>0</v>
      </c>
      <c r="X344" s="22">
        <f t="shared" si="171"/>
        <v>0</v>
      </c>
      <c r="Y344" s="22">
        <f t="shared" si="171"/>
        <v>0</v>
      </c>
      <c r="Z344" s="22">
        <f t="shared" si="171"/>
        <v>0</v>
      </c>
      <c r="AA344" s="22">
        <f t="shared" si="171"/>
        <v>0</v>
      </c>
      <c r="AB344" s="1"/>
      <c r="AC344" s="5">
        <f t="shared" si="144"/>
        <v>0</v>
      </c>
      <c r="AD344" s="5">
        <f t="shared" si="145"/>
        <v>0</v>
      </c>
      <c r="AE344" s="5">
        <f t="shared" si="146"/>
        <v>0</v>
      </c>
      <c r="AF344" s="5">
        <f t="shared" si="147"/>
        <v>0</v>
      </c>
      <c r="AG344" s="5">
        <f t="shared" si="148"/>
        <v>0</v>
      </c>
      <c r="AH344" s="5">
        <f t="shared" si="149"/>
        <v>0</v>
      </c>
      <c r="AI344" s="5">
        <f t="shared" si="150"/>
        <v>0</v>
      </c>
      <c r="AJ344" s="5">
        <f t="shared" si="151"/>
        <v>0</v>
      </c>
      <c r="AK344" s="5">
        <f t="shared" si="152"/>
        <v>0</v>
      </c>
      <c r="AL344" s="5">
        <f t="shared" si="153"/>
        <v>0</v>
      </c>
      <c r="AM344" s="5">
        <f t="shared" si="154"/>
        <v>0</v>
      </c>
      <c r="AN344" s="5">
        <f t="shared" si="155"/>
        <v>0</v>
      </c>
      <c r="AO344" s="5">
        <f t="shared" si="156"/>
        <v>0</v>
      </c>
      <c r="AP344" s="5">
        <f t="shared" si="157"/>
        <v>0</v>
      </c>
      <c r="AQ344" s="5">
        <f t="shared" si="158"/>
        <v>0</v>
      </c>
      <c r="AR344" s="5">
        <f t="shared" si="159"/>
        <v>0</v>
      </c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CB344" s="47"/>
    </row>
    <row r="345" spans="2:80" ht="15" hidden="1" outlineLevel="1" x14ac:dyDescent="0.2">
      <c r="B345" s="18">
        <f t="shared" si="166"/>
        <v>45488</v>
      </c>
      <c r="C345" s="17" t="s">
        <v>1</v>
      </c>
      <c r="D345" s="19">
        <f t="shared" si="167"/>
        <v>45494</v>
      </c>
      <c r="E345" s="20">
        <f t="shared" si="168"/>
        <v>7</v>
      </c>
      <c r="F345" s="21">
        <f t="shared" si="169"/>
        <v>2024</v>
      </c>
      <c r="G345" s="11">
        <f t="shared" si="172"/>
        <v>22</v>
      </c>
      <c r="H345" s="10">
        <f t="shared" si="172"/>
        <v>66</v>
      </c>
      <c r="I345" s="11"/>
      <c r="J345" s="11"/>
      <c r="K345" s="11"/>
      <c r="L345" s="11"/>
      <c r="M345" s="11"/>
      <c r="N345" s="11"/>
      <c r="O345" s="14"/>
      <c r="P345" s="14"/>
      <c r="Q345" s="14"/>
      <c r="R345" s="14"/>
      <c r="S345" s="14"/>
      <c r="T345" s="14"/>
      <c r="V345" s="22">
        <f t="shared" si="171"/>
        <v>0</v>
      </c>
      <c r="W345" s="22">
        <f t="shared" si="171"/>
        <v>0</v>
      </c>
      <c r="X345" s="22">
        <f t="shared" si="171"/>
        <v>0</v>
      </c>
      <c r="Y345" s="22">
        <f t="shared" si="171"/>
        <v>0</v>
      </c>
      <c r="Z345" s="22">
        <f t="shared" si="171"/>
        <v>0</v>
      </c>
      <c r="AA345" s="22">
        <f t="shared" si="171"/>
        <v>0</v>
      </c>
      <c r="AB345" s="1"/>
      <c r="AC345" s="5">
        <f t="shared" si="144"/>
        <v>0</v>
      </c>
      <c r="AD345" s="5">
        <f t="shared" si="145"/>
        <v>0</v>
      </c>
      <c r="AE345" s="5">
        <f t="shared" si="146"/>
        <v>0</v>
      </c>
      <c r="AF345" s="5">
        <f t="shared" si="147"/>
        <v>0</v>
      </c>
      <c r="AG345" s="5">
        <f t="shared" si="148"/>
        <v>0</v>
      </c>
      <c r="AH345" s="5">
        <f t="shared" si="149"/>
        <v>0</v>
      </c>
      <c r="AI345" s="5">
        <f t="shared" si="150"/>
        <v>0</v>
      </c>
      <c r="AJ345" s="5">
        <f t="shared" si="151"/>
        <v>0</v>
      </c>
      <c r="AK345" s="5">
        <f t="shared" si="152"/>
        <v>0</v>
      </c>
      <c r="AL345" s="5">
        <f t="shared" si="153"/>
        <v>0</v>
      </c>
      <c r="AM345" s="5">
        <f t="shared" si="154"/>
        <v>0</v>
      </c>
      <c r="AN345" s="5">
        <f t="shared" si="155"/>
        <v>0</v>
      </c>
      <c r="AO345" s="5">
        <f t="shared" si="156"/>
        <v>0</v>
      </c>
      <c r="AP345" s="5">
        <f t="shared" si="157"/>
        <v>0</v>
      </c>
      <c r="AQ345" s="5">
        <f t="shared" si="158"/>
        <v>0</v>
      </c>
      <c r="AR345" s="5">
        <f t="shared" si="159"/>
        <v>0</v>
      </c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CB345" s="47"/>
    </row>
    <row r="346" spans="2:80" ht="15" hidden="1" outlineLevel="1" x14ac:dyDescent="0.2">
      <c r="B346" s="18">
        <f t="shared" si="166"/>
        <v>45495</v>
      </c>
      <c r="C346" s="17" t="s">
        <v>1</v>
      </c>
      <c r="D346" s="19">
        <f t="shared" si="167"/>
        <v>45501</v>
      </c>
      <c r="E346" s="20">
        <f t="shared" si="168"/>
        <v>7</v>
      </c>
      <c r="F346" s="21">
        <f t="shared" si="169"/>
        <v>2024</v>
      </c>
      <c r="G346" s="11">
        <f t="shared" si="172"/>
        <v>22</v>
      </c>
      <c r="H346" s="10">
        <f t="shared" si="172"/>
        <v>66</v>
      </c>
      <c r="I346" s="11"/>
      <c r="J346" s="11"/>
      <c r="K346" s="11"/>
      <c r="L346" s="11"/>
      <c r="M346" s="11"/>
      <c r="N346" s="11"/>
      <c r="O346" s="14"/>
      <c r="P346" s="14"/>
      <c r="Q346" s="14"/>
      <c r="R346" s="14"/>
      <c r="S346" s="14"/>
      <c r="T346" s="14"/>
      <c r="V346" s="22">
        <f t="shared" si="171"/>
        <v>0</v>
      </c>
      <c r="W346" s="22">
        <f t="shared" si="171"/>
        <v>0</v>
      </c>
      <c r="X346" s="22">
        <f t="shared" si="171"/>
        <v>0</v>
      </c>
      <c r="Y346" s="22">
        <f t="shared" si="171"/>
        <v>0</v>
      </c>
      <c r="Z346" s="22">
        <f t="shared" si="171"/>
        <v>0</v>
      </c>
      <c r="AA346" s="22">
        <f t="shared" si="171"/>
        <v>0</v>
      </c>
      <c r="AB346" s="1"/>
      <c r="AC346" s="5">
        <f t="shared" si="144"/>
        <v>0</v>
      </c>
      <c r="AD346" s="5">
        <f t="shared" si="145"/>
        <v>0</v>
      </c>
      <c r="AE346" s="5">
        <f t="shared" si="146"/>
        <v>0</v>
      </c>
      <c r="AF346" s="5">
        <f t="shared" si="147"/>
        <v>0</v>
      </c>
      <c r="AG346" s="5">
        <f t="shared" si="148"/>
        <v>0</v>
      </c>
      <c r="AH346" s="5">
        <f t="shared" si="149"/>
        <v>0</v>
      </c>
      <c r="AI346" s="5">
        <f t="shared" si="150"/>
        <v>0</v>
      </c>
      <c r="AJ346" s="5">
        <f t="shared" si="151"/>
        <v>0</v>
      </c>
      <c r="AK346" s="5">
        <f t="shared" si="152"/>
        <v>0</v>
      </c>
      <c r="AL346" s="5">
        <f t="shared" si="153"/>
        <v>0</v>
      </c>
      <c r="AM346" s="5">
        <f t="shared" si="154"/>
        <v>0</v>
      </c>
      <c r="AN346" s="5">
        <f t="shared" si="155"/>
        <v>0</v>
      </c>
      <c r="AO346" s="5">
        <f t="shared" si="156"/>
        <v>0</v>
      </c>
      <c r="AP346" s="5">
        <f t="shared" si="157"/>
        <v>0</v>
      </c>
      <c r="AQ346" s="5">
        <f t="shared" si="158"/>
        <v>0</v>
      </c>
      <c r="AR346" s="5">
        <f t="shared" si="159"/>
        <v>0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CB346" s="47"/>
    </row>
    <row r="347" spans="2:80" ht="15" hidden="1" outlineLevel="1" x14ac:dyDescent="0.2">
      <c r="B347" s="18">
        <f t="shared" si="166"/>
        <v>45502</v>
      </c>
      <c r="C347" s="17" t="s">
        <v>1</v>
      </c>
      <c r="D347" s="19">
        <f t="shared" si="167"/>
        <v>45508</v>
      </c>
      <c r="E347" s="20">
        <f t="shared" si="168"/>
        <v>7</v>
      </c>
      <c r="F347" s="21">
        <f t="shared" si="169"/>
        <v>2024</v>
      </c>
      <c r="G347" s="11">
        <f t="shared" si="172"/>
        <v>22</v>
      </c>
      <c r="H347" s="10">
        <f t="shared" si="172"/>
        <v>66</v>
      </c>
      <c r="I347" s="11"/>
      <c r="J347" s="11"/>
      <c r="K347" s="11"/>
      <c r="L347" s="11"/>
      <c r="M347" s="11"/>
      <c r="N347" s="11"/>
      <c r="O347" s="14"/>
      <c r="P347" s="14"/>
      <c r="Q347" s="14"/>
      <c r="R347" s="14"/>
      <c r="S347" s="14"/>
      <c r="T347" s="14"/>
      <c r="V347" s="22">
        <f t="shared" si="171"/>
        <v>0</v>
      </c>
      <c r="W347" s="22">
        <f t="shared" si="171"/>
        <v>0</v>
      </c>
      <c r="X347" s="22">
        <f t="shared" si="171"/>
        <v>0</v>
      </c>
      <c r="Y347" s="22">
        <f t="shared" si="171"/>
        <v>0</v>
      </c>
      <c r="Z347" s="22">
        <f t="shared" si="171"/>
        <v>0</v>
      </c>
      <c r="AA347" s="22">
        <f t="shared" si="171"/>
        <v>0</v>
      </c>
      <c r="AB347" s="1"/>
      <c r="AC347" s="5">
        <f t="shared" si="144"/>
        <v>0</v>
      </c>
      <c r="AD347" s="5">
        <f t="shared" si="145"/>
        <v>0</v>
      </c>
      <c r="AE347" s="5">
        <f t="shared" si="146"/>
        <v>0</v>
      </c>
      <c r="AF347" s="5">
        <f t="shared" si="147"/>
        <v>0</v>
      </c>
      <c r="AG347" s="5">
        <f t="shared" si="148"/>
        <v>0</v>
      </c>
      <c r="AH347" s="5">
        <f t="shared" si="149"/>
        <v>0</v>
      </c>
      <c r="AI347" s="5">
        <f t="shared" si="150"/>
        <v>0</v>
      </c>
      <c r="AJ347" s="5">
        <f t="shared" si="151"/>
        <v>0</v>
      </c>
      <c r="AK347" s="5">
        <f t="shared" si="152"/>
        <v>0</v>
      </c>
      <c r="AL347" s="5">
        <f t="shared" si="153"/>
        <v>0</v>
      </c>
      <c r="AM347" s="5">
        <f t="shared" si="154"/>
        <v>0</v>
      </c>
      <c r="AN347" s="5">
        <f t="shared" si="155"/>
        <v>0</v>
      </c>
      <c r="AO347" s="5">
        <f t="shared" si="156"/>
        <v>0</v>
      </c>
      <c r="AP347" s="5">
        <f t="shared" si="157"/>
        <v>0</v>
      </c>
      <c r="AQ347" s="5">
        <f t="shared" si="158"/>
        <v>0</v>
      </c>
      <c r="AR347" s="5">
        <f t="shared" si="159"/>
        <v>0</v>
      </c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CB347" s="47"/>
    </row>
    <row r="348" spans="2:80" ht="15" hidden="1" outlineLevel="1" x14ac:dyDescent="0.2">
      <c r="B348" s="18">
        <f t="shared" si="166"/>
        <v>45509</v>
      </c>
      <c r="C348" s="17" t="s">
        <v>1</v>
      </c>
      <c r="D348" s="19">
        <f t="shared" si="167"/>
        <v>45515</v>
      </c>
      <c r="E348" s="20">
        <f t="shared" si="168"/>
        <v>8</v>
      </c>
      <c r="F348" s="21">
        <f t="shared" si="169"/>
        <v>2024</v>
      </c>
      <c r="G348" s="11">
        <f t="shared" si="172"/>
        <v>22</v>
      </c>
      <c r="H348" s="10">
        <f t="shared" si="172"/>
        <v>66</v>
      </c>
      <c r="I348" s="11"/>
      <c r="J348" s="11"/>
      <c r="K348" s="11"/>
      <c r="L348" s="11"/>
      <c r="M348" s="11"/>
      <c r="N348" s="11"/>
      <c r="O348" s="14"/>
      <c r="P348" s="14"/>
      <c r="Q348" s="14"/>
      <c r="R348" s="14"/>
      <c r="S348" s="14"/>
      <c r="T348" s="14"/>
      <c r="V348" s="22">
        <f t="shared" si="171"/>
        <v>0</v>
      </c>
      <c r="W348" s="22">
        <f t="shared" si="171"/>
        <v>0</v>
      </c>
      <c r="X348" s="22">
        <f t="shared" si="171"/>
        <v>0</v>
      </c>
      <c r="Y348" s="22">
        <f t="shared" si="171"/>
        <v>0</v>
      </c>
      <c r="Z348" s="22">
        <f t="shared" si="171"/>
        <v>0</v>
      </c>
      <c r="AA348" s="22">
        <f t="shared" si="171"/>
        <v>0</v>
      </c>
      <c r="AB348" s="1"/>
      <c r="AC348" s="5">
        <f t="shared" si="144"/>
        <v>0</v>
      </c>
      <c r="AD348" s="5">
        <f t="shared" si="145"/>
        <v>0</v>
      </c>
      <c r="AE348" s="5">
        <f t="shared" si="146"/>
        <v>0</v>
      </c>
      <c r="AF348" s="5">
        <f t="shared" si="147"/>
        <v>0</v>
      </c>
      <c r="AG348" s="5">
        <f t="shared" si="148"/>
        <v>0</v>
      </c>
      <c r="AH348" s="5">
        <f t="shared" si="149"/>
        <v>0</v>
      </c>
      <c r="AI348" s="5">
        <f t="shared" si="150"/>
        <v>0</v>
      </c>
      <c r="AJ348" s="5">
        <f t="shared" si="151"/>
        <v>0</v>
      </c>
      <c r="AK348" s="5">
        <f t="shared" si="152"/>
        <v>0</v>
      </c>
      <c r="AL348" s="5">
        <f t="shared" si="153"/>
        <v>0</v>
      </c>
      <c r="AM348" s="5">
        <f t="shared" si="154"/>
        <v>0</v>
      </c>
      <c r="AN348" s="5">
        <f t="shared" si="155"/>
        <v>0</v>
      </c>
      <c r="AO348" s="5">
        <f t="shared" si="156"/>
        <v>0</v>
      </c>
      <c r="AP348" s="5">
        <f t="shared" si="157"/>
        <v>0</v>
      </c>
      <c r="AQ348" s="5">
        <f t="shared" si="158"/>
        <v>0</v>
      </c>
      <c r="AR348" s="5">
        <f t="shared" si="159"/>
        <v>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CB348" s="47"/>
    </row>
    <row r="349" spans="2:80" ht="15" hidden="1" outlineLevel="1" x14ac:dyDescent="0.2">
      <c r="B349" s="18">
        <f t="shared" si="166"/>
        <v>45516</v>
      </c>
      <c r="C349" s="17" t="s">
        <v>1</v>
      </c>
      <c r="D349" s="19">
        <f t="shared" si="167"/>
        <v>45522</v>
      </c>
      <c r="E349" s="20">
        <f t="shared" si="168"/>
        <v>8</v>
      </c>
      <c r="F349" s="21">
        <f t="shared" si="169"/>
        <v>2024</v>
      </c>
      <c r="G349" s="11">
        <f t="shared" si="172"/>
        <v>22</v>
      </c>
      <c r="H349" s="10">
        <f t="shared" si="172"/>
        <v>66</v>
      </c>
      <c r="I349" s="11"/>
      <c r="J349" s="11"/>
      <c r="K349" s="11"/>
      <c r="L349" s="11"/>
      <c r="M349" s="11"/>
      <c r="N349" s="11"/>
      <c r="O349" s="14"/>
      <c r="P349" s="14"/>
      <c r="Q349" s="14"/>
      <c r="R349" s="14"/>
      <c r="S349" s="14"/>
      <c r="T349" s="14"/>
      <c r="V349" s="22">
        <f t="shared" si="171"/>
        <v>0</v>
      </c>
      <c r="W349" s="22">
        <f t="shared" si="171"/>
        <v>0</v>
      </c>
      <c r="X349" s="22">
        <f t="shared" si="171"/>
        <v>0</v>
      </c>
      <c r="Y349" s="22">
        <f t="shared" si="171"/>
        <v>0</v>
      </c>
      <c r="Z349" s="22">
        <f t="shared" si="171"/>
        <v>0</v>
      </c>
      <c r="AA349" s="22">
        <f t="shared" si="171"/>
        <v>0</v>
      </c>
      <c r="AB349" s="1"/>
      <c r="AC349" s="5">
        <f t="shared" ref="AC349:AC412" si="173">IF(AND(AS349&gt;=$V$2,AS349&lt;=$AA$2),LOOKUP(AS349,$V$2:$AA$2,$V349:$AA349),IF(AS348="A",0,IF(AC348=$H349,0,IF(AC348=0,0,AC348+1))))</f>
        <v>0</v>
      </c>
      <c r="AD349" s="5">
        <f t="shared" ref="AD349:AD412" si="174">IF(AND(AT349&gt;=$V$2,AT349&lt;=$AA$2),LOOKUP(AT349,$V$2:$AA$2,$V349:$AA349),IF(AT348="A",0,IF(AD348=$H349,0,IF(AD348=0,0,AD348+1))))</f>
        <v>0</v>
      </c>
      <c r="AE349" s="5">
        <f t="shared" ref="AE349:AE412" si="175">IF(AND(AU349&gt;=$V$2,AU349&lt;=$AA$2),LOOKUP(AU349,$V$2:$AA$2,$V349:$AA349),IF(AU348="A",0,IF(AE348=$H349,0,IF(AE348=0,0,AE348+1))))</f>
        <v>0</v>
      </c>
      <c r="AF349" s="5">
        <f t="shared" ref="AF349:AF412" si="176">IF(AND(AV349&gt;=$V$2,AV349&lt;=$AA$2),LOOKUP(AV349,$V$2:$AA$2,$V349:$AA349),IF(AV348="A",0,IF(AF348=$H349,0,IF(AF348=0,0,AF348+1))))</f>
        <v>0</v>
      </c>
      <c r="AG349" s="5">
        <f t="shared" ref="AG349:AG412" si="177">IF(AND(AW349&gt;=$V$2,AW349&lt;=$AA$2),LOOKUP(AW349,$V$2:$AA$2,$V349:$AA349),IF(AW348="A",0,IF(AG348=$H349,0,IF(AG348=0,0,AG348+1))))</f>
        <v>0</v>
      </c>
      <c r="AH349" s="5">
        <f t="shared" ref="AH349:AH412" si="178">IF(AND(AX349&gt;=$V$2,AX349&lt;=$AA$2),LOOKUP(AX349,$V$2:$AA$2,$V349:$AA349),IF(AX348="A",0,IF(AH348=$H349,0,IF(AH348=0,0,AH348+1))))</f>
        <v>0</v>
      </c>
      <c r="AI349" s="5">
        <f t="shared" ref="AI349:AI412" si="179">IF(AND(AY349&gt;=$V$2,AY349&lt;=$AA$2),LOOKUP(AY349,$V$2:$AA$2,$V349:$AA349),IF(AY348="A",0,IF(AI348=$H349,0,IF(AI348=0,0,AI348+1))))</f>
        <v>0</v>
      </c>
      <c r="AJ349" s="5">
        <f t="shared" ref="AJ349:AJ412" si="180">IF(AND(AZ349&gt;=$V$2,AZ349&lt;=$AA$2),LOOKUP(AZ349,$V$2:$AA$2,$V349:$AA349),IF(AZ348="A",0,IF(AJ348=$H349,0,IF(AJ348=0,0,AJ348+1))))</f>
        <v>0</v>
      </c>
      <c r="AK349" s="5">
        <f t="shared" ref="AK349:AK412" si="181">IF(AND(BA349&gt;=$V$2,BA349&lt;=$AA$2),LOOKUP(BA349,$V$2:$AA$2,$V349:$AA349),IF(BA348="A",0,IF(AK348=$H349,0,IF(AK348=0,0,AK348+1))))</f>
        <v>0</v>
      </c>
      <c r="AL349" s="5">
        <f t="shared" ref="AL349:AL412" si="182">IF(AND(BB349&gt;=$V$2,BB349&lt;=$AA$2),LOOKUP(BB349,$V$2:$AA$2,$V349:$AA349),IF(BB348="A",0,IF(AL348=$H349,0,IF(AL348=0,0,AL348+1))))</f>
        <v>0</v>
      </c>
      <c r="AM349" s="5">
        <f t="shared" ref="AM349:AM412" si="183">IF(AND(BC349&gt;=$V$2,BC349&lt;=$AA$2),LOOKUP(BC349,$V$2:$AA$2,$V349:$AA349),IF(BC348="A",0,IF(AM348=$H349,0,IF(AM348=0,0,AM348+1))))</f>
        <v>0</v>
      </c>
      <c r="AN349" s="5">
        <f t="shared" ref="AN349:AN412" si="184">IF(AND(BD349&gt;=$V$2,BD349&lt;=$AA$2),LOOKUP(BD349,$V$2:$AA$2,$V349:$AA349),IF(BD348="A",0,IF(AN348=$H349,0,IF(AN348=0,0,AN348+1))))</f>
        <v>0</v>
      </c>
      <c r="AO349" s="5">
        <f t="shared" ref="AO349:AO412" si="185">IF(AND(BE349&gt;=$V$2,BE349&lt;=$AA$2),LOOKUP(BE349,$V$2:$AA$2,$V349:$AA349),IF(BE348="A",0,IF(AO348=$H349,0,IF(AO348=0,0,AO348+1))))</f>
        <v>0</v>
      </c>
      <c r="AP349" s="5">
        <f t="shared" ref="AP349:AP412" si="186">IF(AND(BF349&gt;=$V$2,BF349&lt;=$AA$2),LOOKUP(BF349,$V$2:$AA$2,$V349:$AA349),IF(BF348="A",0,IF(AP348=$H349,0,IF(AP348=0,0,AP348+1))))</f>
        <v>0</v>
      </c>
      <c r="AQ349" s="5">
        <f t="shared" ref="AQ349:AQ412" si="187">IF(AND(BG349&gt;=$V$2,BG349&lt;=$AA$2),LOOKUP(BG349,$V$2:$AA$2,$V349:$AA349),IF(BG348="A",0,IF(AQ348=$H349,0,IF(AQ348=0,0,AQ348+1))))</f>
        <v>0</v>
      </c>
      <c r="AR349" s="5">
        <f t="shared" ref="AR349:AR412" si="188">IF(AND(BH349&gt;=$V$2,BH349&lt;=$AA$2),LOOKUP(BH349,$V$2:$AA$2,$V349:$AA349),IF(BH348="A",0,IF(AR348=$H349,0,IF(AR348=0,0,AR348+1))))</f>
        <v>0</v>
      </c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CB349" s="47"/>
    </row>
    <row r="350" spans="2:80" ht="15" hidden="1" outlineLevel="1" x14ac:dyDescent="0.2">
      <c r="B350" s="18">
        <f t="shared" si="166"/>
        <v>45523</v>
      </c>
      <c r="C350" s="17" t="s">
        <v>1</v>
      </c>
      <c r="D350" s="19">
        <f t="shared" si="167"/>
        <v>45529</v>
      </c>
      <c r="E350" s="20">
        <f t="shared" si="168"/>
        <v>8</v>
      </c>
      <c r="F350" s="21">
        <f t="shared" si="169"/>
        <v>2024</v>
      </c>
      <c r="G350" s="11">
        <f t="shared" si="172"/>
        <v>22</v>
      </c>
      <c r="H350" s="10">
        <f t="shared" si="172"/>
        <v>66</v>
      </c>
      <c r="I350" s="11"/>
      <c r="J350" s="11"/>
      <c r="K350" s="11"/>
      <c r="L350" s="11"/>
      <c r="M350" s="11"/>
      <c r="N350" s="11"/>
      <c r="O350" s="14"/>
      <c r="P350" s="14"/>
      <c r="Q350" s="14"/>
      <c r="R350" s="14"/>
      <c r="S350" s="14"/>
      <c r="T350" s="14"/>
      <c r="V350" s="22">
        <f t="shared" si="171"/>
        <v>0</v>
      </c>
      <c r="W350" s="22">
        <f t="shared" si="171"/>
        <v>0</v>
      </c>
      <c r="X350" s="22">
        <f t="shared" si="171"/>
        <v>0</v>
      </c>
      <c r="Y350" s="22">
        <f t="shared" si="171"/>
        <v>0</v>
      </c>
      <c r="Z350" s="22">
        <f t="shared" si="171"/>
        <v>0</v>
      </c>
      <c r="AA350" s="22">
        <f t="shared" si="171"/>
        <v>0</v>
      </c>
      <c r="AB350" s="1"/>
      <c r="AC350" s="5">
        <f t="shared" si="173"/>
        <v>0</v>
      </c>
      <c r="AD350" s="5">
        <f t="shared" si="174"/>
        <v>0</v>
      </c>
      <c r="AE350" s="5">
        <f t="shared" si="175"/>
        <v>0</v>
      </c>
      <c r="AF350" s="5">
        <f t="shared" si="176"/>
        <v>0</v>
      </c>
      <c r="AG350" s="5">
        <f t="shared" si="177"/>
        <v>0</v>
      </c>
      <c r="AH350" s="5">
        <f t="shared" si="178"/>
        <v>0</v>
      </c>
      <c r="AI350" s="5">
        <f t="shared" si="179"/>
        <v>0</v>
      </c>
      <c r="AJ350" s="5">
        <f t="shared" si="180"/>
        <v>0</v>
      </c>
      <c r="AK350" s="5">
        <f t="shared" si="181"/>
        <v>0</v>
      </c>
      <c r="AL350" s="5">
        <f t="shared" si="182"/>
        <v>0</v>
      </c>
      <c r="AM350" s="5">
        <f t="shared" si="183"/>
        <v>0</v>
      </c>
      <c r="AN350" s="5">
        <f t="shared" si="184"/>
        <v>0</v>
      </c>
      <c r="AO350" s="5">
        <f t="shared" si="185"/>
        <v>0</v>
      </c>
      <c r="AP350" s="5">
        <f t="shared" si="186"/>
        <v>0</v>
      </c>
      <c r="AQ350" s="5">
        <f t="shared" si="187"/>
        <v>0</v>
      </c>
      <c r="AR350" s="5">
        <f t="shared" si="188"/>
        <v>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CB350" s="47"/>
    </row>
    <row r="351" spans="2:80" ht="15" hidden="1" outlineLevel="1" x14ac:dyDescent="0.2">
      <c r="B351" s="18">
        <f t="shared" si="166"/>
        <v>45530</v>
      </c>
      <c r="C351" s="17" t="s">
        <v>1</v>
      </c>
      <c r="D351" s="19">
        <f t="shared" si="167"/>
        <v>45536</v>
      </c>
      <c r="E351" s="20">
        <f t="shared" si="168"/>
        <v>8</v>
      </c>
      <c r="F351" s="21">
        <f t="shared" si="169"/>
        <v>2024</v>
      </c>
      <c r="G351" s="11">
        <f t="shared" si="172"/>
        <v>22</v>
      </c>
      <c r="H351" s="10">
        <f t="shared" si="172"/>
        <v>66</v>
      </c>
      <c r="I351" s="11"/>
      <c r="J351" s="11"/>
      <c r="K351" s="11"/>
      <c r="L351" s="11"/>
      <c r="M351" s="11"/>
      <c r="N351" s="11"/>
      <c r="O351" s="14"/>
      <c r="P351" s="14"/>
      <c r="Q351" s="14"/>
      <c r="R351" s="14"/>
      <c r="S351" s="14"/>
      <c r="T351" s="14"/>
      <c r="V351" s="22">
        <f t="shared" si="171"/>
        <v>0</v>
      </c>
      <c r="W351" s="22">
        <f t="shared" si="171"/>
        <v>0</v>
      </c>
      <c r="X351" s="22">
        <f t="shared" si="171"/>
        <v>0</v>
      </c>
      <c r="Y351" s="22">
        <f t="shared" si="171"/>
        <v>0</v>
      </c>
      <c r="Z351" s="22">
        <f t="shared" si="171"/>
        <v>0</v>
      </c>
      <c r="AA351" s="22">
        <f t="shared" si="171"/>
        <v>0</v>
      </c>
      <c r="AB351" s="1"/>
      <c r="AC351" s="5">
        <f t="shared" si="173"/>
        <v>0</v>
      </c>
      <c r="AD351" s="5">
        <f t="shared" si="174"/>
        <v>0</v>
      </c>
      <c r="AE351" s="5">
        <f t="shared" si="175"/>
        <v>0</v>
      </c>
      <c r="AF351" s="5">
        <f t="shared" si="176"/>
        <v>0</v>
      </c>
      <c r="AG351" s="5">
        <f t="shared" si="177"/>
        <v>0</v>
      </c>
      <c r="AH351" s="5">
        <f t="shared" si="178"/>
        <v>0</v>
      </c>
      <c r="AI351" s="5">
        <f t="shared" si="179"/>
        <v>0</v>
      </c>
      <c r="AJ351" s="5">
        <f t="shared" si="180"/>
        <v>0</v>
      </c>
      <c r="AK351" s="5">
        <f t="shared" si="181"/>
        <v>0</v>
      </c>
      <c r="AL351" s="5">
        <f t="shared" si="182"/>
        <v>0</v>
      </c>
      <c r="AM351" s="5">
        <f t="shared" si="183"/>
        <v>0</v>
      </c>
      <c r="AN351" s="5">
        <f t="shared" si="184"/>
        <v>0</v>
      </c>
      <c r="AO351" s="5">
        <f t="shared" si="185"/>
        <v>0</v>
      </c>
      <c r="AP351" s="5">
        <f t="shared" si="186"/>
        <v>0</v>
      </c>
      <c r="AQ351" s="5">
        <f t="shared" si="187"/>
        <v>0</v>
      </c>
      <c r="AR351" s="5">
        <f t="shared" si="188"/>
        <v>0</v>
      </c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CB351" s="47"/>
    </row>
    <row r="352" spans="2:80" ht="15" hidden="1" outlineLevel="1" x14ac:dyDescent="0.2">
      <c r="B352" s="18">
        <f t="shared" si="166"/>
        <v>45537</v>
      </c>
      <c r="C352" s="17" t="s">
        <v>1</v>
      </c>
      <c r="D352" s="19">
        <f t="shared" si="167"/>
        <v>45543</v>
      </c>
      <c r="E352" s="20">
        <f t="shared" si="168"/>
        <v>9</v>
      </c>
      <c r="F352" s="21">
        <f t="shared" si="169"/>
        <v>2024</v>
      </c>
      <c r="G352" s="11">
        <f t="shared" si="172"/>
        <v>22</v>
      </c>
      <c r="H352" s="10">
        <f t="shared" si="172"/>
        <v>66</v>
      </c>
      <c r="I352" s="11"/>
      <c r="J352" s="11"/>
      <c r="K352" s="11"/>
      <c r="L352" s="11"/>
      <c r="M352" s="11"/>
      <c r="N352" s="11"/>
      <c r="O352" s="14"/>
      <c r="P352" s="14"/>
      <c r="Q352" s="14"/>
      <c r="R352" s="14"/>
      <c r="S352" s="14"/>
      <c r="T352" s="14"/>
      <c r="V352" s="22">
        <f t="shared" si="171"/>
        <v>0</v>
      </c>
      <c r="W352" s="22">
        <f t="shared" si="171"/>
        <v>0</v>
      </c>
      <c r="X352" s="22">
        <f t="shared" si="171"/>
        <v>0</v>
      </c>
      <c r="Y352" s="22">
        <f t="shared" si="171"/>
        <v>0</v>
      </c>
      <c r="Z352" s="22">
        <f t="shared" si="171"/>
        <v>0</v>
      </c>
      <c r="AA352" s="22">
        <f t="shared" si="171"/>
        <v>0</v>
      </c>
      <c r="AB352" s="1"/>
      <c r="AC352" s="5">
        <f t="shared" si="173"/>
        <v>0</v>
      </c>
      <c r="AD352" s="5">
        <f t="shared" si="174"/>
        <v>0</v>
      </c>
      <c r="AE352" s="5">
        <f t="shared" si="175"/>
        <v>0</v>
      </c>
      <c r="AF352" s="5">
        <f t="shared" si="176"/>
        <v>0</v>
      </c>
      <c r="AG352" s="5">
        <f t="shared" si="177"/>
        <v>0</v>
      </c>
      <c r="AH352" s="5">
        <f t="shared" si="178"/>
        <v>0</v>
      </c>
      <c r="AI352" s="5">
        <f t="shared" si="179"/>
        <v>0</v>
      </c>
      <c r="AJ352" s="5">
        <f t="shared" si="180"/>
        <v>0</v>
      </c>
      <c r="AK352" s="5">
        <f t="shared" si="181"/>
        <v>0</v>
      </c>
      <c r="AL352" s="5">
        <f t="shared" si="182"/>
        <v>0</v>
      </c>
      <c r="AM352" s="5">
        <f t="shared" si="183"/>
        <v>0</v>
      </c>
      <c r="AN352" s="5">
        <f t="shared" si="184"/>
        <v>0</v>
      </c>
      <c r="AO352" s="5">
        <f t="shared" si="185"/>
        <v>0</v>
      </c>
      <c r="AP352" s="5">
        <f t="shared" si="186"/>
        <v>0</v>
      </c>
      <c r="AQ352" s="5">
        <f t="shared" si="187"/>
        <v>0</v>
      </c>
      <c r="AR352" s="5">
        <f t="shared" si="188"/>
        <v>0</v>
      </c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CB352" s="47"/>
    </row>
    <row r="353" spans="2:80" ht="15" hidden="1" outlineLevel="1" x14ac:dyDescent="0.2">
      <c r="B353" s="18">
        <f t="shared" si="166"/>
        <v>45544</v>
      </c>
      <c r="C353" s="17" t="s">
        <v>1</v>
      </c>
      <c r="D353" s="19">
        <f t="shared" si="167"/>
        <v>45550</v>
      </c>
      <c r="E353" s="20">
        <f t="shared" si="168"/>
        <v>9</v>
      </c>
      <c r="F353" s="21">
        <f t="shared" si="169"/>
        <v>2024</v>
      </c>
      <c r="G353" s="11">
        <f t="shared" si="172"/>
        <v>22</v>
      </c>
      <c r="H353" s="10">
        <f t="shared" si="172"/>
        <v>66</v>
      </c>
      <c r="I353" s="11"/>
      <c r="J353" s="11"/>
      <c r="K353" s="11"/>
      <c r="L353" s="11"/>
      <c r="M353" s="11"/>
      <c r="N353" s="11"/>
      <c r="O353" s="14"/>
      <c r="P353" s="14"/>
      <c r="Q353" s="14"/>
      <c r="R353" s="14"/>
      <c r="S353" s="14"/>
      <c r="T353" s="14"/>
      <c r="V353" s="22">
        <f t="shared" si="171"/>
        <v>0</v>
      </c>
      <c r="W353" s="22">
        <f t="shared" si="171"/>
        <v>0</v>
      </c>
      <c r="X353" s="22">
        <f t="shared" si="171"/>
        <v>0</v>
      </c>
      <c r="Y353" s="22">
        <f t="shared" si="171"/>
        <v>0</v>
      </c>
      <c r="Z353" s="22">
        <f t="shared" si="171"/>
        <v>0</v>
      </c>
      <c r="AA353" s="22">
        <f t="shared" si="171"/>
        <v>0</v>
      </c>
      <c r="AB353" s="1"/>
      <c r="AC353" s="5">
        <f t="shared" si="173"/>
        <v>0</v>
      </c>
      <c r="AD353" s="5">
        <f t="shared" si="174"/>
        <v>0</v>
      </c>
      <c r="AE353" s="5">
        <f t="shared" si="175"/>
        <v>0</v>
      </c>
      <c r="AF353" s="5">
        <f t="shared" si="176"/>
        <v>0</v>
      </c>
      <c r="AG353" s="5">
        <f t="shared" si="177"/>
        <v>0</v>
      </c>
      <c r="AH353" s="5">
        <f t="shared" si="178"/>
        <v>0</v>
      </c>
      <c r="AI353" s="5">
        <f t="shared" si="179"/>
        <v>0</v>
      </c>
      <c r="AJ353" s="5">
        <f t="shared" si="180"/>
        <v>0</v>
      </c>
      <c r="AK353" s="5">
        <f t="shared" si="181"/>
        <v>0</v>
      </c>
      <c r="AL353" s="5">
        <f t="shared" si="182"/>
        <v>0</v>
      </c>
      <c r="AM353" s="5">
        <f t="shared" si="183"/>
        <v>0</v>
      </c>
      <c r="AN353" s="5">
        <f t="shared" si="184"/>
        <v>0</v>
      </c>
      <c r="AO353" s="5">
        <f t="shared" si="185"/>
        <v>0</v>
      </c>
      <c r="AP353" s="5">
        <f t="shared" si="186"/>
        <v>0</v>
      </c>
      <c r="AQ353" s="5">
        <f t="shared" si="187"/>
        <v>0</v>
      </c>
      <c r="AR353" s="5">
        <f t="shared" si="188"/>
        <v>0</v>
      </c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CB353" s="47"/>
    </row>
    <row r="354" spans="2:80" ht="15" hidden="1" outlineLevel="1" x14ac:dyDescent="0.2">
      <c r="B354" s="18">
        <f t="shared" si="166"/>
        <v>45551</v>
      </c>
      <c r="C354" s="17" t="s">
        <v>1</v>
      </c>
      <c r="D354" s="19">
        <f t="shared" si="167"/>
        <v>45557</v>
      </c>
      <c r="E354" s="20">
        <f t="shared" si="168"/>
        <v>9</v>
      </c>
      <c r="F354" s="21">
        <f t="shared" si="169"/>
        <v>2024</v>
      </c>
      <c r="G354" s="11">
        <f t="shared" si="172"/>
        <v>22</v>
      </c>
      <c r="H354" s="10">
        <f t="shared" si="172"/>
        <v>66</v>
      </c>
      <c r="I354" s="11"/>
      <c r="J354" s="11"/>
      <c r="K354" s="11"/>
      <c r="L354" s="11"/>
      <c r="M354" s="11"/>
      <c r="N354" s="11"/>
      <c r="O354" s="14"/>
      <c r="P354" s="14"/>
      <c r="Q354" s="14"/>
      <c r="R354" s="14"/>
      <c r="S354" s="14"/>
      <c r="T354" s="14"/>
      <c r="V354" s="22">
        <f t="shared" si="171"/>
        <v>0</v>
      </c>
      <c r="W354" s="22">
        <f t="shared" si="171"/>
        <v>0</v>
      </c>
      <c r="X354" s="22">
        <f t="shared" si="171"/>
        <v>0</v>
      </c>
      <c r="Y354" s="22">
        <f t="shared" si="171"/>
        <v>0</v>
      </c>
      <c r="Z354" s="22">
        <f t="shared" si="171"/>
        <v>0</v>
      </c>
      <c r="AA354" s="22">
        <f t="shared" si="171"/>
        <v>0</v>
      </c>
      <c r="AB354" s="1"/>
      <c r="AC354" s="5">
        <f t="shared" si="173"/>
        <v>0</v>
      </c>
      <c r="AD354" s="5">
        <f t="shared" si="174"/>
        <v>0</v>
      </c>
      <c r="AE354" s="5">
        <f t="shared" si="175"/>
        <v>0</v>
      </c>
      <c r="AF354" s="5">
        <f t="shared" si="176"/>
        <v>0</v>
      </c>
      <c r="AG354" s="5">
        <f t="shared" si="177"/>
        <v>0</v>
      </c>
      <c r="AH354" s="5">
        <f t="shared" si="178"/>
        <v>0</v>
      </c>
      <c r="AI354" s="5">
        <f t="shared" si="179"/>
        <v>0</v>
      </c>
      <c r="AJ354" s="5">
        <f t="shared" si="180"/>
        <v>0</v>
      </c>
      <c r="AK354" s="5">
        <f t="shared" si="181"/>
        <v>0</v>
      </c>
      <c r="AL354" s="5">
        <f t="shared" si="182"/>
        <v>0</v>
      </c>
      <c r="AM354" s="5">
        <f t="shared" si="183"/>
        <v>0</v>
      </c>
      <c r="AN354" s="5">
        <f t="shared" si="184"/>
        <v>0</v>
      </c>
      <c r="AO354" s="5">
        <f t="shared" si="185"/>
        <v>0</v>
      </c>
      <c r="AP354" s="5">
        <f t="shared" si="186"/>
        <v>0</v>
      </c>
      <c r="AQ354" s="5">
        <f t="shared" si="187"/>
        <v>0</v>
      </c>
      <c r="AR354" s="5">
        <f t="shared" si="188"/>
        <v>0</v>
      </c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CB354" s="47"/>
    </row>
    <row r="355" spans="2:80" ht="15" hidden="1" outlineLevel="1" x14ac:dyDescent="0.2">
      <c r="B355" s="18">
        <f t="shared" si="166"/>
        <v>45558</v>
      </c>
      <c r="C355" s="17" t="s">
        <v>1</v>
      </c>
      <c r="D355" s="19">
        <f t="shared" si="167"/>
        <v>45564</v>
      </c>
      <c r="E355" s="20">
        <f t="shared" si="168"/>
        <v>9</v>
      </c>
      <c r="F355" s="21">
        <f t="shared" si="169"/>
        <v>2024</v>
      </c>
      <c r="G355" s="11">
        <f t="shared" si="172"/>
        <v>22</v>
      </c>
      <c r="H355" s="10">
        <f t="shared" si="172"/>
        <v>66</v>
      </c>
      <c r="I355" s="11"/>
      <c r="J355" s="11"/>
      <c r="K355" s="11"/>
      <c r="L355" s="11"/>
      <c r="M355" s="11"/>
      <c r="N355" s="11"/>
      <c r="O355" s="14"/>
      <c r="P355" s="14"/>
      <c r="Q355" s="14"/>
      <c r="R355" s="14"/>
      <c r="S355" s="14"/>
      <c r="T355" s="14"/>
      <c r="V355" s="22">
        <f t="shared" si="171"/>
        <v>0</v>
      </c>
      <c r="W355" s="22">
        <f t="shared" si="171"/>
        <v>0</v>
      </c>
      <c r="X355" s="22">
        <f t="shared" si="171"/>
        <v>0</v>
      </c>
      <c r="Y355" s="22">
        <f t="shared" si="171"/>
        <v>0</v>
      </c>
      <c r="Z355" s="22">
        <f t="shared" si="171"/>
        <v>0</v>
      </c>
      <c r="AA355" s="22">
        <f t="shared" si="171"/>
        <v>0</v>
      </c>
      <c r="AB355" s="1"/>
      <c r="AC355" s="5">
        <f t="shared" si="173"/>
        <v>0</v>
      </c>
      <c r="AD355" s="5">
        <f t="shared" si="174"/>
        <v>0</v>
      </c>
      <c r="AE355" s="5">
        <f t="shared" si="175"/>
        <v>0</v>
      </c>
      <c r="AF355" s="5">
        <f t="shared" si="176"/>
        <v>0</v>
      </c>
      <c r="AG355" s="5">
        <f t="shared" si="177"/>
        <v>0</v>
      </c>
      <c r="AH355" s="5">
        <f t="shared" si="178"/>
        <v>0</v>
      </c>
      <c r="AI355" s="5">
        <f t="shared" si="179"/>
        <v>0</v>
      </c>
      <c r="AJ355" s="5">
        <f t="shared" si="180"/>
        <v>0</v>
      </c>
      <c r="AK355" s="5">
        <f t="shared" si="181"/>
        <v>0</v>
      </c>
      <c r="AL355" s="5">
        <f t="shared" si="182"/>
        <v>0</v>
      </c>
      <c r="AM355" s="5">
        <f t="shared" si="183"/>
        <v>0</v>
      </c>
      <c r="AN355" s="5">
        <f t="shared" si="184"/>
        <v>0</v>
      </c>
      <c r="AO355" s="5">
        <f t="shared" si="185"/>
        <v>0</v>
      </c>
      <c r="AP355" s="5">
        <f t="shared" si="186"/>
        <v>0</v>
      </c>
      <c r="AQ355" s="5">
        <f t="shared" si="187"/>
        <v>0</v>
      </c>
      <c r="AR355" s="5">
        <f t="shared" si="188"/>
        <v>0</v>
      </c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CB355" s="47"/>
    </row>
    <row r="356" spans="2:80" ht="15" hidden="1" outlineLevel="1" x14ac:dyDescent="0.2">
      <c r="B356" s="18">
        <f t="shared" si="166"/>
        <v>45565</v>
      </c>
      <c r="C356" s="17" t="s">
        <v>1</v>
      </c>
      <c r="D356" s="19">
        <f t="shared" si="167"/>
        <v>45571</v>
      </c>
      <c r="E356" s="20">
        <f t="shared" si="168"/>
        <v>9</v>
      </c>
      <c r="F356" s="21">
        <f t="shared" si="169"/>
        <v>2024</v>
      </c>
      <c r="G356" s="11">
        <f t="shared" si="172"/>
        <v>22</v>
      </c>
      <c r="H356" s="10">
        <f t="shared" si="172"/>
        <v>66</v>
      </c>
      <c r="I356" s="11"/>
      <c r="J356" s="11"/>
      <c r="K356" s="11"/>
      <c r="L356" s="11"/>
      <c r="M356" s="11"/>
      <c r="N356" s="11"/>
      <c r="O356" s="14"/>
      <c r="P356" s="14"/>
      <c r="Q356" s="14"/>
      <c r="R356" s="14"/>
      <c r="S356" s="14"/>
      <c r="T356" s="14"/>
      <c r="V356" s="22">
        <f t="shared" ref="V356:AA371" si="189">IF(I356&gt;0,I356,IF(O356=1,$B356+2,IF(O355=1,1,IF(O355=2,0,IF(V355=$G355,0,(IF(V355&gt;=1,V355+1,0)))))))</f>
        <v>0</v>
      </c>
      <c r="W356" s="22">
        <f t="shared" si="189"/>
        <v>0</v>
      </c>
      <c r="X356" s="22">
        <f t="shared" si="189"/>
        <v>0</v>
      </c>
      <c r="Y356" s="22">
        <f t="shared" si="189"/>
        <v>0</v>
      </c>
      <c r="Z356" s="22">
        <f t="shared" si="189"/>
        <v>0</v>
      </c>
      <c r="AA356" s="22">
        <f t="shared" si="189"/>
        <v>0</v>
      </c>
      <c r="AB356" s="1"/>
      <c r="AC356" s="5">
        <f t="shared" si="173"/>
        <v>0</v>
      </c>
      <c r="AD356" s="5">
        <f t="shared" si="174"/>
        <v>0</v>
      </c>
      <c r="AE356" s="5">
        <f t="shared" si="175"/>
        <v>0</v>
      </c>
      <c r="AF356" s="5">
        <f t="shared" si="176"/>
        <v>0</v>
      </c>
      <c r="AG356" s="5">
        <f t="shared" si="177"/>
        <v>0</v>
      </c>
      <c r="AH356" s="5">
        <f t="shared" si="178"/>
        <v>0</v>
      </c>
      <c r="AI356" s="5">
        <f t="shared" si="179"/>
        <v>0</v>
      </c>
      <c r="AJ356" s="5">
        <f t="shared" si="180"/>
        <v>0</v>
      </c>
      <c r="AK356" s="5">
        <f t="shared" si="181"/>
        <v>0</v>
      </c>
      <c r="AL356" s="5">
        <f t="shared" si="182"/>
        <v>0</v>
      </c>
      <c r="AM356" s="5">
        <f t="shared" si="183"/>
        <v>0</v>
      </c>
      <c r="AN356" s="5">
        <f t="shared" si="184"/>
        <v>0</v>
      </c>
      <c r="AO356" s="5">
        <f t="shared" si="185"/>
        <v>0</v>
      </c>
      <c r="AP356" s="5">
        <f t="shared" si="186"/>
        <v>0</v>
      </c>
      <c r="AQ356" s="5">
        <f t="shared" si="187"/>
        <v>0</v>
      </c>
      <c r="AR356" s="5">
        <f t="shared" si="188"/>
        <v>0</v>
      </c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CB356" s="47"/>
    </row>
    <row r="357" spans="2:80" ht="15" hidden="1" outlineLevel="1" x14ac:dyDescent="0.2">
      <c r="B357" s="18">
        <f t="shared" si="166"/>
        <v>45572</v>
      </c>
      <c r="C357" s="17" t="s">
        <v>1</v>
      </c>
      <c r="D357" s="19">
        <f t="shared" si="167"/>
        <v>45578</v>
      </c>
      <c r="E357" s="20">
        <f t="shared" si="168"/>
        <v>10</v>
      </c>
      <c r="F357" s="21">
        <f t="shared" si="169"/>
        <v>2024</v>
      </c>
      <c r="G357" s="11">
        <f t="shared" si="172"/>
        <v>22</v>
      </c>
      <c r="H357" s="10">
        <f t="shared" si="172"/>
        <v>66</v>
      </c>
      <c r="I357" s="11"/>
      <c r="J357" s="11"/>
      <c r="K357" s="11"/>
      <c r="L357" s="11"/>
      <c r="M357" s="11"/>
      <c r="N357" s="11"/>
      <c r="O357" s="14"/>
      <c r="P357" s="14"/>
      <c r="Q357" s="14"/>
      <c r="R357" s="14"/>
      <c r="S357" s="14"/>
      <c r="T357" s="14"/>
      <c r="V357" s="22">
        <f t="shared" si="189"/>
        <v>0</v>
      </c>
      <c r="W357" s="22">
        <f t="shared" si="189"/>
        <v>0</v>
      </c>
      <c r="X357" s="22">
        <f t="shared" si="189"/>
        <v>0</v>
      </c>
      <c r="Y357" s="22">
        <f t="shared" si="189"/>
        <v>0</v>
      </c>
      <c r="Z357" s="22">
        <f t="shared" si="189"/>
        <v>0</v>
      </c>
      <c r="AA357" s="22">
        <f t="shared" si="189"/>
        <v>0</v>
      </c>
      <c r="AB357" s="1"/>
      <c r="AC357" s="5">
        <f t="shared" si="173"/>
        <v>0</v>
      </c>
      <c r="AD357" s="5">
        <f t="shared" si="174"/>
        <v>0</v>
      </c>
      <c r="AE357" s="5">
        <f t="shared" si="175"/>
        <v>0</v>
      </c>
      <c r="AF357" s="5">
        <f t="shared" si="176"/>
        <v>0</v>
      </c>
      <c r="AG357" s="5">
        <f t="shared" si="177"/>
        <v>0</v>
      </c>
      <c r="AH357" s="5">
        <f t="shared" si="178"/>
        <v>0</v>
      </c>
      <c r="AI357" s="5">
        <f t="shared" si="179"/>
        <v>0</v>
      </c>
      <c r="AJ357" s="5">
        <f t="shared" si="180"/>
        <v>0</v>
      </c>
      <c r="AK357" s="5">
        <f t="shared" si="181"/>
        <v>0</v>
      </c>
      <c r="AL357" s="5">
        <f t="shared" si="182"/>
        <v>0</v>
      </c>
      <c r="AM357" s="5">
        <f t="shared" si="183"/>
        <v>0</v>
      </c>
      <c r="AN357" s="5">
        <f t="shared" si="184"/>
        <v>0</v>
      </c>
      <c r="AO357" s="5">
        <f t="shared" si="185"/>
        <v>0</v>
      </c>
      <c r="AP357" s="5">
        <f t="shared" si="186"/>
        <v>0</v>
      </c>
      <c r="AQ357" s="5">
        <f t="shared" si="187"/>
        <v>0</v>
      </c>
      <c r="AR357" s="5">
        <f t="shared" si="188"/>
        <v>0</v>
      </c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CB357" s="47"/>
    </row>
    <row r="358" spans="2:80" ht="15" hidden="1" outlineLevel="1" x14ac:dyDescent="0.2">
      <c r="B358" s="18">
        <f t="shared" si="166"/>
        <v>45579</v>
      </c>
      <c r="C358" s="17" t="s">
        <v>1</v>
      </c>
      <c r="D358" s="19">
        <f t="shared" si="167"/>
        <v>45585</v>
      </c>
      <c r="E358" s="20">
        <f t="shared" si="168"/>
        <v>10</v>
      </c>
      <c r="F358" s="21">
        <f t="shared" si="169"/>
        <v>2024</v>
      </c>
      <c r="G358" s="11">
        <f t="shared" ref="G358:H373" si="190">G357</f>
        <v>22</v>
      </c>
      <c r="H358" s="10">
        <f t="shared" si="190"/>
        <v>66</v>
      </c>
      <c r="I358" s="11"/>
      <c r="J358" s="11"/>
      <c r="K358" s="11"/>
      <c r="L358" s="11"/>
      <c r="M358" s="11"/>
      <c r="N358" s="11"/>
      <c r="O358" s="14"/>
      <c r="P358" s="14"/>
      <c r="Q358" s="14"/>
      <c r="R358" s="14"/>
      <c r="S358" s="14"/>
      <c r="T358" s="14"/>
      <c r="V358" s="22">
        <f t="shared" si="189"/>
        <v>0</v>
      </c>
      <c r="W358" s="22">
        <f t="shared" si="189"/>
        <v>0</v>
      </c>
      <c r="X358" s="22">
        <f t="shared" si="189"/>
        <v>0</v>
      </c>
      <c r="Y358" s="22">
        <f t="shared" si="189"/>
        <v>0</v>
      </c>
      <c r="Z358" s="22">
        <f t="shared" si="189"/>
        <v>0</v>
      </c>
      <c r="AA358" s="22">
        <f t="shared" si="189"/>
        <v>0</v>
      </c>
      <c r="AB358" s="1"/>
      <c r="AC358" s="5">
        <f t="shared" si="173"/>
        <v>0</v>
      </c>
      <c r="AD358" s="5">
        <f t="shared" si="174"/>
        <v>0</v>
      </c>
      <c r="AE358" s="5">
        <f t="shared" si="175"/>
        <v>0</v>
      </c>
      <c r="AF358" s="5">
        <f t="shared" si="176"/>
        <v>0</v>
      </c>
      <c r="AG358" s="5">
        <f t="shared" si="177"/>
        <v>0</v>
      </c>
      <c r="AH358" s="5">
        <f t="shared" si="178"/>
        <v>0</v>
      </c>
      <c r="AI358" s="5">
        <f t="shared" si="179"/>
        <v>0</v>
      </c>
      <c r="AJ358" s="5">
        <f t="shared" si="180"/>
        <v>0</v>
      </c>
      <c r="AK358" s="5">
        <f t="shared" si="181"/>
        <v>0</v>
      </c>
      <c r="AL358" s="5">
        <f t="shared" si="182"/>
        <v>0</v>
      </c>
      <c r="AM358" s="5">
        <f t="shared" si="183"/>
        <v>0</v>
      </c>
      <c r="AN358" s="5">
        <f t="shared" si="184"/>
        <v>0</v>
      </c>
      <c r="AO358" s="5">
        <f t="shared" si="185"/>
        <v>0</v>
      </c>
      <c r="AP358" s="5">
        <f t="shared" si="186"/>
        <v>0</v>
      </c>
      <c r="AQ358" s="5">
        <f t="shared" si="187"/>
        <v>0</v>
      </c>
      <c r="AR358" s="5">
        <f t="shared" si="188"/>
        <v>0</v>
      </c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CB358" s="47"/>
    </row>
    <row r="359" spans="2:80" ht="15" hidden="1" outlineLevel="1" x14ac:dyDescent="0.2">
      <c r="B359" s="18">
        <f t="shared" si="166"/>
        <v>45586</v>
      </c>
      <c r="C359" s="17" t="s">
        <v>1</v>
      </c>
      <c r="D359" s="19">
        <f t="shared" si="167"/>
        <v>45592</v>
      </c>
      <c r="E359" s="20">
        <f t="shared" si="168"/>
        <v>10</v>
      </c>
      <c r="F359" s="21">
        <f t="shared" si="169"/>
        <v>2024</v>
      </c>
      <c r="G359" s="11">
        <f t="shared" si="190"/>
        <v>22</v>
      </c>
      <c r="H359" s="10">
        <f t="shared" si="190"/>
        <v>66</v>
      </c>
      <c r="I359" s="11"/>
      <c r="J359" s="11"/>
      <c r="K359" s="11"/>
      <c r="L359" s="11"/>
      <c r="M359" s="11"/>
      <c r="N359" s="11"/>
      <c r="O359" s="14"/>
      <c r="P359" s="14"/>
      <c r="Q359" s="14"/>
      <c r="R359" s="14"/>
      <c r="S359" s="14"/>
      <c r="T359" s="14"/>
      <c r="V359" s="22">
        <f t="shared" si="189"/>
        <v>0</v>
      </c>
      <c r="W359" s="22">
        <f t="shared" si="189"/>
        <v>0</v>
      </c>
      <c r="X359" s="22">
        <f t="shared" si="189"/>
        <v>0</v>
      </c>
      <c r="Y359" s="22">
        <f t="shared" si="189"/>
        <v>0</v>
      </c>
      <c r="Z359" s="22">
        <f t="shared" si="189"/>
        <v>0</v>
      </c>
      <c r="AA359" s="22">
        <f t="shared" si="189"/>
        <v>0</v>
      </c>
      <c r="AB359" s="1"/>
      <c r="AC359" s="5">
        <f t="shared" si="173"/>
        <v>0</v>
      </c>
      <c r="AD359" s="5">
        <f t="shared" si="174"/>
        <v>0</v>
      </c>
      <c r="AE359" s="5">
        <f t="shared" si="175"/>
        <v>0</v>
      </c>
      <c r="AF359" s="5">
        <f t="shared" si="176"/>
        <v>0</v>
      </c>
      <c r="AG359" s="5">
        <f t="shared" si="177"/>
        <v>0</v>
      </c>
      <c r="AH359" s="5">
        <f t="shared" si="178"/>
        <v>0</v>
      </c>
      <c r="AI359" s="5">
        <f t="shared" si="179"/>
        <v>0</v>
      </c>
      <c r="AJ359" s="5">
        <f t="shared" si="180"/>
        <v>0</v>
      </c>
      <c r="AK359" s="5">
        <f t="shared" si="181"/>
        <v>0</v>
      </c>
      <c r="AL359" s="5">
        <f t="shared" si="182"/>
        <v>0</v>
      </c>
      <c r="AM359" s="5">
        <f t="shared" si="183"/>
        <v>0</v>
      </c>
      <c r="AN359" s="5">
        <f t="shared" si="184"/>
        <v>0</v>
      </c>
      <c r="AO359" s="5">
        <f t="shared" si="185"/>
        <v>0</v>
      </c>
      <c r="AP359" s="5">
        <f t="shared" si="186"/>
        <v>0</v>
      </c>
      <c r="AQ359" s="5">
        <f t="shared" si="187"/>
        <v>0</v>
      </c>
      <c r="AR359" s="5">
        <f t="shared" si="188"/>
        <v>0</v>
      </c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CB359" s="47"/>
    </row>
    <row r="360" spans="2:80" ht="15" hidden="1" outlineLevel="1" x14ac:dyDescent="0.2">
      <c r="B360" s="18">
        <f t="shared" si="166"/>
        <v>45593</v>
      </c>
      <c r="C360" s="17" t="s">
        <v>1</v>
      </c>
      <c r="D360" s="19">
        <f t="shared" si="167"/>
        <v>45599</v>
      </c>
      <c r="E360" s="20">
        <f t="shared" si="168"/>
        <v>10</v>
      </c>
      <c r="F360" s="21">
        <f t="shared" si="169"/>
        <v>2024</v>
      </c>
      <c r="G360" s="11">
        <f t="shared" si="190"/>
        <v>22</v>
      </c>
      <c r="H360" s="10">
        <f t="shared" si="190"/>
        <v>66</v>
      </c>
      <c r="I360" s="11"/>
      <c r="J360" s="11"/>
      <c r="K360" s="11"/>
      <c r="L360" s="11"/>
      <c r="M360" s="11"/>
      <c r="N360" s="11"/>
      <c r="O360" s="14"/>
      <c r="P360" s="14"/>
      <c r="Q360" s="14"/>
      <c r="R360" s="14"/>
      <c r="S360" s="14"/>
      <c r="T360" s="14"/>
      <c r="V360" s="22">
        <f t="shared" si="189"/>
        <v>0</v>
      </c>
      <c r="W360" s="22">
        <f t="shared" si="189"/>
        <v>0</v>
      </c>
      <c r="X360" s="22">
        <f t="shared" si="189"/>
        <v>0</v>
      </c>
      <c r="Y360" s="22">
        <f t="shared" si="189"/>
        <v>0</v>
      </c>
      <c r="Z360" s="22">
        <f t="shared" si="189"/>
        <v>0</v>
      </c>
      <c r="AA360" s="22">
        <f t="shared" si="189"/>
        <v>0</v>
      </c>
      <c r="AB360" s="1"/>
      <c r="AC360" s="5">
        <f t="shared" si="173"/>
        <v>0</v>
      </c>
      <c r="AD360" s="5">
        <f t="shared" si="174"/>
        <v>0</v>
      </c>
      <c r="AE360" s="5">
        <f t="shared" si="175"/>
        <v>0</v>
      </c>
      <c r="AF360" s="5">
        <f t="shared" si="176"/>
        <v>0</v>
      </c>
      <c r="AG360" s="5">
        <f t="shared" si="177"/>
        <v>0</v>
      </c>
      <c r="AH360" s="5">
        <f t="shared" si="178"/>
        <v>0</v>
      </c>
      <c r="AI360" s="5">
        <f t="shared" si="179"/>
        <v>0</v>
      </c>
      <c r="AJ360" s="5">
        <f t="shared" si="180"/>
        <v>0</v>
      </c>
      <c r="AK360" s="5">
        <f t="shared" si="181"/>
        <v>0</v>
      </c>
      <c r="AL360" s="5">
        <f t="shared" si="182"/>
        <v>0</v>
      </c>
      <c r="AM360" s="5">
        <f t="shared" si="183"/>
        <v>0</v>
      </c>
      <c r="AN360" s="5">
        <f t="shared" si="184"/>
        <v>0</v>
      </c>
      <c r="AO360" s="5">
        <f t="shared" si="185"/>
        <v>0</v>
      </c>
      <c r="AP360" s="5">
        <f t="shared" si="186"/>
        <v>0</v>
      </c>
      <c r="AQ360" s="5">
        <f t="shared" si="187"/>
        <v>0</v>
      </c>
      <c r="AR360" s="5">
        <f t="shared" si="188"/>
        <v>0</v>
      </c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CB360" s="47"/>
    </row>
    <row r="361" spans="2:80" ht="15" hidden="1" outlineLevel="1" x14ac:dyDescent="0.2">
      <c r="B361" s="18">
        <f t="shared" si="166"/>
        <v>45600</v>
      </c>
      <c r="C361" s="17" t="s">
        <v>1</v>
      </c>
      <c r="D361" s="19">
        <f t="shared" si="167"/>
        <v>45606</v>
      </c>
      <c r="E361" s="20">
        <f t="shared" si="168"/>
        <v>11</v>
      </c>
      <c r="F361" s="21">
        <f t="shared" si="169"/>
        <v>2024</v>
      </c>
      <c r="G361" s="11">
        <f t="shared" si="190"/>
        <v>22</v>
      </c>
      <c r="H361" s="10">
        <f t="shared" si="190"/>
        <v>66</v>
      </c>
      <c r="I361" s="11"/>
      <c r="J361" s="11"/>
      <c r="K361" s="11"/>
      <c r="L361" s="11"/>
      <c r="M361" s="11"/>
      <c r="N361" s="11"/>
      <c r="O361" s="14"/>
      <c r="P361" s="14"/>
      <c r="Q361" s="14"/>
      <c r="R361" s="14"/>
      <c r="S361" s="14"/>
      <c r="T361" s="14"/>
      <c r="V361" s="22">
        <f t="shared" si="189"/>
        <v>0</v>
      </c>
      <c r="W361" s="22">
        <f t="shared" si="189"/>
        <v>0</v>
      </c>
      <c r="X361" s="22">
        <f t="shared" si="189"/>
        <v>0</v>
      </c>
      <c r="Y361" s="22">
        <f t="shared" si="189"/>
        <v>0</v>
      </c>
      <c r="Z361" s="22">
        <f t="shared" si="189"/>
        <v>0</v>
      </c>
      <c r="AA361" s="22">
        <f t="shared" si="189"/>
        <v>0</v>
      </c>
      <c r="AB361" s="1"/>
      <c r="AC361" s="5">
        <f t="shared" si="173"/>
        <v>0</v>
      </c>
      <c r="AD361" s="5">
        <f t="shared" si="174"/>
        <v>0</v>
      </c>
      <c r="AE361" s="5">
        <f t="shared" si="175"/>
        <v>0</v>
      </c>
      <c r="AF361" s="5">
        <f t="shared" si="176"/>
        <v>0</v>
      </c>
      <c r="AG361" s="5">
        <f t="shared" si="177"/>
        <v>0</v>
      </c>
      <c r="AH361" s="5">
        <f t="shared" si="178"/>
        <v>0</v>
      </c>
      <c r="AI361" s="5">
        <f t="shared" si="179"/>
        <v>0</v>
      </c>
      <c r="AJ361" s="5">
        <f t="shared" si="180"/>
        <v>0</v>
      </c>
      <c r="AK361" s="5">
        <f t="shared" si="181"/>
        <v>0</v>
      </c>
      <c r="AL361" s="5">
        <f t="shared" si="182"/>
        <v>0</v>
      </c>
      <c r="AM361" s="5">
        <f t="shared" si="183"/>
        <v>0</v>
      </c>
      <c r="AN361" s="5">
        <f t="shared" si="184"/>
        <v>0</v>
      </c>
      <c r="AO361" s="5">
        <f t="shared" si="185"/>
        <v>0</v>
      </c>
      <c r="AP361" s="5">
        <f t="shared" si="186"/>
        <v>0</v>
      </c>
      <c r="AQ361" s="5">
        <f t="shared" si="187"/>
        <v>0</v>
      </c>
      <c r="AR361" s="5">
        <f t="shared" si="188"/>
        <v>0</v>
      </c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CB361" s="47"/>
    </row>
    <row r="362" spans="2:80" ht="15" hidden="1" outlineLevel="1" x14ac:dyDescent="0.2">
      <c r="B362" s="18">
        <f t="shared" si="166"/>
        <v>45607</v>
      </c>
      <c r="C362" s="17" t="s">
        <v>1</v>
      </c>
      <c r="D362" s="19">
        <f t="shared" si="167"/>
        <v>45613</v>
      </c>
      <c r="E362" s="20">
        <f t="shared" si="168"/>
        <v>11</v>
      </c>
      <c r="F362" s="21">
        <f t="shared" si="169"/>
        <v>2024</v>
      </c>
      <c r="G362" s="11">
        <f t="shared" si="190"/>
        <v>22</v>
      </c>
      <c r="H362" s="10">
        <f t="shared" si="190"/>
        <v>66</v>
      </c>
      <c r="I362" s="11"/>
      <c r="J362" s="11"/>
      <c r="K362" s="11"/>
      <c r="L362" s="11"/>
      <c r="M362" s="11"/>
      <c r="N362" s="11"/>
      <c r="O362" s="14"/>
      <c r="P362" s="14"/>
      <c r="Q362" s="14"/>
      <c r="R362" s="14"/>
      <c r="S362" s="14"/>
      <c r="T362" s="14"/>
      <c r="V362" s="22">
        <f t="shared" si="189"/>
        <v>0</v>
      </c>
      <c r="W362" s="22">
        <f t="shared" si="189"/>
        <v>0</v>
      </c>
      <c r="X362" s="22">
        <f t="shared" si="189"/>
        <v>0</v>
      </c>
      <c r="Y362" s="22">
        <f t="shared" si="189"/>
        <v>0</v>
      </c>
      <c r="Z362" s="22">
        <f t="shared" si="189"/>
        <v>0</v>
      </c>
      <c r="AA362" s="22">
        <f t="shared" si="189"/>
        <v>0</v>
      </c>
      <c r="AB362" s="1"/>
      <c r="AC362" s="5">
        <f t="shared" si="173"/>
        <v>0</v>
      </c>
      <c r="AD362" s="5">
        <f t="shared" si="174"/>
        <v>0</v>
      </c>
      <c r="AE362" s="5">
        <f t="shared" si="175"/>
        <v>0</v>
      </c>
      <c r="AF362" s="5">
        <f t="shared" si="176"/>
        <v>0</v>
      </c>
      <c r="AG362" s="5">
        <f t="shared" si="177"/>
        <v>0</v>
      </c>
      <c r="AH362" s="5">
        <f t="shared" si="178"/>
        <v>0</v>
      </c>
      <c r="AI362" s="5">
        <f t="shared" si="179"/>
        <v>0</v>
      </c>
      <c r="AJ362" s="5">
        <f t="shared" si="180"/>
        <v>0</v>
      </c>
      <c r="AK362" s="5">
        <f t="shared" si="181"/>
        <v>0</v>
      </c>
      <c r="AL362" s="5">
        <f t="shared" si="182"/>
        <v>0</v>
      </c>
      <c r="AM362" s="5">
        <f t="shared" si="183"/>
        <v>0</v>
      </c>
      <c r="AN362" s="5">
        <f t="shared" si="184"/>
        <v>0</v>
      </c>
      <c r="AO362" s="5">
        <f t="shared" si="185"/>
        <v>0</v>
      </c>
      <c r="AP362" s="5">
        <f t="shared" si="186"/>
        <v>0</v>
      </c>
      <c r="AQ362" s="5">
        <f t="shared" si="187"/>
        <v>0</v>
      </c>
      <c r="AR362" s="5">
        <f t="shared" si="188"/>
        <v>0</v>
      </c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CB362" s="47"/>
    </row>
    <row r="363" spans="2:80" ht="15" hidden="1" outlineLevel="1" x14ac:dyDescent="0.2">
      <c r="B363" s="18">
        <f t="shared" si="166"/>
        <v>45614</v>
      </c>
      <c r="C363" s="17" t="s">
        <v>1</v>
      </c>
      <c r="D363" s="19">
        <f t="shared" si="167"/>
        <v>45620</v>
      </c>
      <c r="E363" s="20">
        <f t="shared" si="168"/>
        <v>11</v>
      </c>
      <c r="F363" s="21">
        <f t="shared" si="169"/>
        <v>2024</v>
      </c>
      <c r="G363" s="11">
        <f t="shared" si="190"/>
        <v>22</v>
      </c>
      <c r="H363" s="10">
        <f t="shared" si="190"/>
        <v>66</v>
      </c>
      <c r="I363" s="11"/>
      <c r="J363" s="11"/>
      <c r="K363" s="11"/>
      <c r="L363" s="11"/>
      <c r="M363" s="11"/>
      <c r="N363" s="11"/>
      <c r="O363" s="14"/>
      <c r="P363" s="14"/>
      <c r="Q363" s="14"/>
      <c r="R363" s="14"/>
      <c r="S363" s="14"/>
      <c r="T363" s="14"/>
      <c r="V363" s="22">
        <f t="shared" si="189"/>
        <v>0</v>
      </c>
      <c r="W363" s="22">
        <f t="shared" si="189"/>
        <v>0</v>
      </c>
      <c r="X363" s="22">
        <f t="shared" si="189"/>
        <v>0</v>
      </c>
      <c r="Y363" s="22">
        <f t="shared" si="189"/>
        <v>0</v>
      </c>
      <c r="Z363" s="22">
        <f t="shared" si="189"/>
        <v>0</v>
      </c>
      <c r="AA363" s="22">
        <f t="shared" si="189"/>
        <v>0</v>
      </c>
      <c r="AB363" s="1"/>
      <c r="AC363" s="5">
        <f t="shared" si="173"/>
        <v>0</v>
      </c>
      <c r="AD363" s="5">
        <f t="shared" si="174"/>
        <v>0</v>
      </c>
      <c r="AE363" s="5">
        <f t="shared" si="175"/>
        <v>0</v>
      </c>
      <c r="AF363" s="5">
        <f t="shared" si="176"/>
        <v>0</v>
      </c>
      <c r="AG363" s="5">
        <f t="shared" si="177"/>
        <v>0</v>
      </c>
      <c r="AH363" s="5">
        <f t="shared" si="178"/>
        <v>0</v>
      </c>
      <c r="AI363" s="5">
        <f t="shared" si="179"/>
        <v>0</v>
      </c>
      <c r="AJ363" s="5">
        <f t="shared" si="180"/>
        <v>0</v>
      </c>
      <c r="AK363" s="5">
        <f t="shared" si="181"/>
        <v>0</v>
      </c>
      <c r="AL363" s="5">
        <f t="shared" si="182"/>
        <v>0</v>
      </c>
      <c r="AM363" s="5">
        <f t="shared" si="183"/>
        <v>0</v>
      </c>
      <c r="AN363" s="5">
        <f t="shared" si="184"/>
        <v>0</v>
      </c>
      <c r="AO363" s="5">
        <f t="shared" si="185"/>
        <v>0</v>
      </c>
      <c r="AP363" s="5">
        <f t="shared" si="186"/>
        <v>0</v>
      </c>
      <c r="AQ363" s="5">
        <f t="shared" si="187"/>
        <v>0</v>
      </c>
      <c r="AR363" s="5">
        <f t="shared" si="188"/>
        <v>0</v>
      </c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CB363" s="47"/>
    </row>
    <row r="364" spans="2:80" ht="15" hidden="1" outlineLevel="1" x14ac:dyDescent="0.2">
      <c r="B364" s="18">
        <f t="shared" si="166"/>
        <v>45621</v>
      </c>
      <c r="C364" s="17" t="s">
        <v>1</v>
      </c>
      <c r="D364" s="19">
        <f t="shared" si="167"/>
        <v>45627</v>
      </c>
      <c r="E364" s="20">
        <f t="shared" si="168"/>
        <v>11</v>
      </c>
      <c r="F364" s="21">
        <f t="shared" si="169"/>
        <v>2024</v>
      </c>
      <c r="G364" s="11">
        <f t="shared" si="190"/>
        <v>22</v>
      </c>
      <c r="H364" s="10">
        <f t="shared" si="190"/>
        <v>66</v>
      </c>
      <c r="I364" s="11"/>
      <c r="J364" s="11"/>
      <c r="K364" s="11"/>
      <c r="L364" s="11"/>
      <c r="M364" s="11"/>
      <c r="N364" s="11"/>
      <c r="O364" s="14"/>
      <c r="P364" s="14"/>
      <c r="Q364" s="14"/>
      <c r="R364" s="14"/>
      <c r="S364" s="14"/>
      <c r="T364" s="14"/>
      <c r="V364" s="22">
        <f t="shared" si="189"/>
        <v>0</v>
      </c>
      <c r="W364" s="22">
        <f t="shared" si="189"/>
        <v>0</v>
      </c>
      <c r="X364" s="22">
        <f t="shared" si="189"/>
        <v>0</v>
      </c>
      <c r="Y364" s="22">
        <f t="shared" si="189"/>
        <v>0</v>
      </c>
      <c r="Z364" s="22">
        <f t="shared" si="189"/>
        <v>0</v>
      </c>
      <c r="AA364" s="22">
        <f t="shared" si="189"/>
        <v>0</v>
      </c>
      <c r="AB364" s="1"/>
      <c r="AC364" s="5">
        <f t="shared" si="173"/>
        <v>0</v>
      </c>
      <c r="AD364" s="5">
        <f t="shared" si="174"/>
        <v>0</v>
      </c>
      <c r="AE364" s="5">
        <f t="shared" si="175"/>
        <v>0</v>
      </c>
      <c r="AF364" s="5">
        <f t="shared" si="176"/>
        <v>0</v>
      </c>
      <c r="AG364" s="5">
        <f t="shared" si="177"/>
        <v>0</v>
      </c>
      <c r="AH364" s="5">
        <f t="shared" si="178"/>
        <v>0</v>
      </c>
      <c r="AI364" s="5">
        <f t="shared" si="179"/>
        <v>0</v>
      </c>
      <c r="AJ364" s="5">
        <f t="shared" si="180"/>
        <v>0</v>
      </c>
      <c r="AK364" s="5">
        <f t="shared" si="181"/>
        <v>0</v>
      </c>
      <c r="AL364" s="5">
        <f t="shared" si="182"/>
        <v>0</v>
      </c>
      <c r="AM364" s="5">
        <f t="shared" si="183"/>
        <v>0</v>
      </c>
      <c r="AN364" s="5">
        <f t="shared" si="184"/>
        <v>0</v>
      </c>
      <c r="AO364" s="5">
        <f t="shared" si="185"/>
        <v>0</v>
      </c>
      <c r="AP364" s="5">
        <f t="shared" si="186"/>
        <v>0</v>
      </c>
      <c r="AQ364" s="5">
        <f t="shared" si="187"/>
        <v>0</v>
      </c>
      <c r="AR364" s="5">
        <f t="shared" si="188"/>
        <v>0</v>
      </c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CB364" s="47"/>
    </row>
    <row r="365" spans="2:80" ht="15" hidden="1" outlineLevel="1" x14ac:dyDescent="0.2">
      <c r="B365" s="18">
        <f t="shared" si="166"/>
        <v>45628</v>
      </c>
      <c r="C365" s="17" t="s">
        <v>1</v>
      </c>
      <c r="D365" s="19">
        <f t="shared" si="167"/>
        <v>45634</v>
      </c>
      <c r="E365" s="20">
        <f t="shared" si="168"/>
        <v>12</v>
      </c>
      <c r="F365" s="21">
        <f t="shared" si="169"/>
        <v>2024</v>
      </c>
      <c r="G365" s="11">
        <f t="shared" si="190"/>
        <v>22</v>
      </c>
      <c r="H365" s="10">
        <f t="shared" si="190"/>
        <v>66</v>
      </c>
      <c r="I365" s="11"/>
      <c r="J365" s="11"/>
      <c r="K365" s="11"/>
      <c r="L365" s="11"/>
      <c r="M365" s="11"/>
      <c r="N365" s="11"/>
      <c r="O365" s="14"/>
      <c r="P365" s="14"/>
      <c r="Q365" s="14"/>
      <c r="R365" s="14"/>
      <c r="S365" s="14"/>
      <c r="T365" s="14"/>
      <c r="V365" s="22">
        <f t="shared" si="189"/>
        <v>0</v>
      </c>
      <c r="W365" s="22">
        <f t="shared" si="189"/>
        <v>0</v>
      </c>
      <c r="X365" s="22">
        <f t="shared" si="189"/>
        <v>0</v>
      </c>
      <c r="Y365" s="22">
        <f t="shared" si="189"/>
        <v>0</v>
      </c>
      <c r="Z365" s="22">
        <f t="shared" si="189"/>
        <v>0</v>
      </c>
      <c r="AA365" s="22">
        <f t="shared" si="189"/>
        <v>0</v>
      </c>
      <c r="AB365" s="1"/>
      <c r="AC365" s="5">
        <f t="shared" si="173"/>
        <v>0</v>
      </c>
      <c r="AD365" s="5">
        <f t="shared" si="174"/>
        <v>0</v>
      </c>
      <c r="AE365" s="5">
        <f t="shared" si="175"/>
        <v>0</v>
      </c>
      <c r="AF365" s="5">
        <f t="shared" si="176"/>
        <v>0</v>
      </c>
      <c r="AG365" s="5">
        <f t="shared" si="177"/>
        <v>0</v>
      </c>
      <c r="AH365" s="5">
        <f t="shared" si="178"/>
        <v>0</v>
      </c>
      <c r="AI365" s="5">
        <f t="shared" si="179"/>
        <v>0</v>
      </c>
      <c r="AJ365" s="5">
        <f t="shared" si="180"/>
        <v>0</v>
      </c>
      <c r="AK365" s="5">
        <f t="shared" si="181"/>
        <v>0</v>
      </c>
      <c r="AL365" s="5">
        <f t="shared" si="182"/>
        <v>0</v>
      </c>
      <c r="AM365" s="5">
        <f t="shared" si="183"/>
        <v>0</v>
      </c>
      <c r="AN365" s="5">
        <f t="shared" si="184"/>
        <v>0</v>
      </c>
      <c r="AO365" s="5">
        <f t="shared" si="185"/>
        <v>0</v>
      </c>
      <c r="AP365" s="5">
        <f t="shared" si="186"/>
        <v>0</v>
      </c>
      <c r="AQ365" s="5">
        <f t="shared" si="187"/>
        <v>0</v>
      </c>
      <c r="AR365" s="5">
        <f t="shared" si="188"/>
        <v>0</v>
      </c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CB365" s="47"/>
    </row>
    <row r="366" spans="2:80" ht="15" hidden="1" outlineLevel="1" x14ac:dyDescent="0.2">
      <c r="B366" s="18">
        <f t="shared" si="166"/>
        <v>45635</v>
      </c>
      <c r="C366" s="17" t="s">
        <v>1</v>
      </c>
      <c r="D366" s="19">
        <f t="shared" si="167"/>
        <v>45641</v>
      </c>
      <c r="E366" s="20">
        <f t="shared" si="168"/>
        <v>12</v>
      </c>
      <c r="F366" s="21">
        <f t="shared" si="169"/>
        <v>2024</v>
      </c>
      <c r="G366" s="11">
        <f t="shared" si="190"/>
        <v>22</v>
      </c>
      <c r="H366" s="10">
        <f t="shared" si="190"/>
        <v>66</v>
      </c>
      <c r="I366" s="11"/>
      <c r="J366" s="11"/>
      <c r="K366" s="11"/>
      <c r="L366" s="11"/>
      <c r="M366" s="11"/>
      <c r="N366" s="11"/>
      <c r="O366" s="14"/>
      <c r="P366" s="14"/>
      <c r="Q366" s="14"/>
      <c r="R366" s="14"/>
      <c r="S366" s="14"/>
      <c r="T366" s="14"/>
      <c r="V366" s="22">
        <f t="shared" si="189"/>
        <v>0</v>
      </c>
      <c r="W366" s="22">
        <f t="shared" si="189"/>
        <v>0</v>
      </c>
      <c r="X366" s="22">
        <f t="shared" si="189"/>
        <v>0</v>
      </c>
      <c r="Y366" s="22">
        <f t="shared" si="189"/>
        <v>0</v>
      </c>
      <c r="Z366" s="22">
        <f t="shared" si="189"/>
        <v>0</v>
      </c>
      <c r="AA366" s="22">
        <f t="shared" si="189"/>
        <v>0</v>
      </c>
      <c r="AB366" s="1"/>
      <c r="AC366" s="5">
        <f t="shared" si="173"/>
        <v>0</v>
      </c>
      <c r="AD366" s="5">
        <f t="shared" si="174"/>
        <v>0</v>
      </c>
      <c r="AE366" s="5">
        <f t="shared" si="175"/>
        <v>0</v>
      </c>
      <c r="AF366" s="5">
        <f t="shared" si="176"/>
        <v>0</v>
      </c>
      <c r="AG366" s="5">
        <f t="shared" si="177"/>
        <v>0</v>
      </c>
      <c r="AH366" s="5">
        <f t="shared" si="178"/>
        <v>0</v>
      </c>
      <c r="AI366" s="5">
        <f t="shared" si="179"/>
        <v>0</v>
      </c>
      <c r="AJ366" s="5">
        <f t="shared" si="180"/>
        <v>0</v>
      </c>
      <c r="AK366" s="5">
        <f t="shared" si="181"/>
        <v>0</v>
      </c>
      <c r="AL366" s="5">
        <f t="shared" si="182"/>
        <v>0</v>
      </c>
      <c r="AM366" s="5">
        <f t="shared" si="183"/>
        <v>0</v>
      </c>
      <c r="AN366" s="5">
        <f t="shared" si="184"/>
        <v>0</v>
      </c>
      <c r="AO366" s="5">
        <f t="shared" si="185"/>
        <v>0</v>
      </c>
      <c r="AP366" s="5">
        <f t="shared" si="186"/>
        <v>0</v>
      </c>
      <c r="AQ366" s="5">
        <f t="shared" si="187"/>
        <v>0</v>
      </c>
      <c r="AR366" s="5">
        <f t="shared" si="188"/>
        <v>0</v>
      </c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CB366" s="47"/>
    </row>
    <row r="367" spans="2:80" ht="15" hidden="1" outlineLevel="1" x14ac:dyDescent="0.2">
      <c r="B367" s="18">
        <f t="shared" si="166"/>
        <v>45642</v>
      </c>
      <c r="C367" s="17" t="s">
        <v>1</v>
      </c>
      <c r="D367" s="19">
        <f t="shared" si="167"/>
        <v>45648</v>
      </c>
      <c r="E367" s="20">
        <f t="shared" si="168"/>
        <v>12</v>
      </c>
      <c r="F367" s="21">
        <f t="shared" si="169"/>
        <v>2024</v>
      </c>
      <c r="G367" s="11">
        <f t="shared" si="190"/>
        <v>22</v>
      </c>
      <c r="H367" s="10">
        <f t="shared" si="190"/>
        <v>66</v>
      </c>
      <c r="I367" s="11"/>
      <c r="J367" s="11"/>
      <c r="K367" s="11"/>
      <c r="L367" s="11"/>
      <c r="M367" s="11"/>
      <c r="N367" s="11"/>
      <c r="O367" s="14"/>
      <c r="P367" s="14"/>
      <c r="Q367" s="14"/>
      <c r="R367" s="14"/>
      <c r="S367" s="14"/>
      <c r="T367" s="14"/>
      <c r="V367" s="22">
        <f t="shared" si="189"/>
        <v>0</v>
      </c>
      <c r="W367" s="22">
        <f t="shared" si="189"/>
        <v>0</v>
      </c>
      <c r="X367" s="22">
        <f t="shared" si="189"/>
        <v>0</v>
      </c>
      <c r="Y367" s="22">
        <f t="shared" si="189"/>
        <v>0</v>
      </c>
      <c r="Z367" s="22">
        <f t="shared" si="189"/>
        <v>0</v>
      </c>
      <c r="AA367" s="22">
        <f t="shared" si="189"/>
        <v>0</v>
      </c>
      <c r="AB367" s="1"/>
      <c r="AC367" s="5">
        <f t="shared" si="173"/>
        <v>0</v>
      </c>
      <c r="AD367" s="5">
        <f t="shared" si="174"/>
        <v>0</v>
      </c>
      <c r="AE367" s="5">
        <f t="shared" si="175"/>
        <v>0</v>
      </c>
      <c r="AF367" s="5">
        <f t="shared" si="176"/>
        <v>0</v>
      </c>
      <c r="AG367" s="5">
        <f t="shared" si="177"/>
        <v>0</v>
      </c>
      <c r="AH367" s="5">
        <f t="shared" si="178"/>
        <v>0</v>
      </c>
      <c r="AI367" s="5">
        <f t="shared" si="179"/>
        <v>0</v>
      </c>
      <c r="AJ367" s="5">
        <f t="shared" si="180"/>
        <v>0</v>
      </c>
      <c r="AK367" s="5">
        <f t="shared" si="181"/>
        <v>0</v>
      </c>
      <c r="AL367" s="5">
        <f t="shared" si="182"/>
        <v>0</v>
      </c>
      <c r="AM367" s="5">
        <f t="shared" si="183"/>
        <v>0</v>
      </c>
      <c r="AN367" s="5">
        <f t="shared" si="184"/>
        <v>0</v>
      </c>
      <c r="AO367" s="5">
        <f t="shared" si="185"/>
        <v>0</v>
      </c>
      <c r="AP367" s="5">
        <f t="shared" si="186"/>
        <v>0</v>
      </c>
      <c r="AQ367" s="5">
        <f t="shared" si="187"/>
        <v>0</v>
      </c>
      <c r="AR367" s="5">
        <f t="shared" si="188"/>
        <v>0</v>
      </c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CB367" s="47"/>
    </row>
    <row r="368" spans="2:80" ht="15" collapsed="1" x14ac:dyDescent="0.2">
      <c r="B368" s="18">
        <f t="shared" si="166"/>
        <v>45649</v>
      </c>
      <c r="C368" s="17" t="s">
        <v>1</v>
      </c>
      <c r="D368" s="19">
        <f t="shared" si="167"/>
        <v>45655</v>
      </c>
      <c r="E368" s="20">
        <f t="shared" si="168"/>
        <v>12</v>
      </c>
      <c r="F368" s="21">
        <f t="shared" si="169"/>
        <v>2024</v>
      </c>
      <c r="G368" s="11">
        <f t="shared" si="190"/>
        <v>22</v>
      </c>
      <c r="H368" s="10">
        <f t="shared" si="190"/>
        <v>66</v>
      </c>
      <c r="I368" s="11"/>
      <c r="J368" s="11"/>
      <c r="K368" s="11"/>
      <c r="L368" s="11"/>
      <c r="M368" s="11"/>
      <c r="N368" s="11"/>
      <c r="O368" s="14"/>
      <c r="P368" s="14"/>
      <c r="Q368" s="14"/>
      <c r="R368" s="14"/>
      <c r="S368" s="14"/>
      <c r="T368" s="14"/>
      <c r="V368" s="22">
        <f t="shared" si="189"/>
        <v>0</v>
      </c>
      <c r="W368" s="22">
        <f t="shared" si="189"/>
        <v>0</v>
      </c>
      <c r="X368" s="22">
        <f t="shared" si="189"/>
        <v>0</v>
      </c>
      <c r="Y368" s="22">
        <f t="shared" si="189"/>
        <v>0</v>
      </c>
      <c r="Z368" s="22">
        <f t="shared" si="189"/>
        <v>0</v>
      </c>
      <c r="AA368" s="22">
        <f t="shared" si="189"/>
        <v>0</v>
      </c>
      <c r="AB368" s="1"/>
      <c r="AC368" s="5">
        <f t="shared" si="173"/>
        <v>0</v>
      </c>
      <c r="AD368" s="5">
        <f t="shared" si="174"/>
        <v>0</v>
      </c>
      <c r="AE368" s="5">
        <f t="shared" si="175"/>
        <v>0</v>
      </c>
      <c r="AF368" s="5">
        <f t="shared" si="176"/>
        <v>0</v>
      </c>
      <c r="AG368" s="5">
        <f t="shared" si="177"/>
        <v>0</v>
      </c>
      <c r="AH368" s="5">
        <f t="shared" si="178"/>
        <v>0</v>
      </c>
      <c r="AI368" s="5">
        <f t="shared" si="179"/>
        <v>0</v>
      </c>
      <c r="AJ368" s="5">
        <f t="shared" si="180"/>
        <v>0</v>
      </c>
      <c r="AK368" s="5">
        <f t="shared" si="181"/>
        <v>0</v>
      </c>
      <c r="AL368" s="5">
        <f t="shared" si="182"/>
        <v>0</v>
      </c>
      <c r="AM368" s="5">
        <f t="shared" si="183"/>
        <v>0</v>
      </c>
      <c r="AN368" s="5">
        <f t="shared" si="184"/>
        <v>0</v>
      </c>
      <c r="AO368" s="5">
        <f t="shared" si="185"/>
        <v>0</v>
      </c>
      <c r="AP368" s="5">
        <f t="shared" si="186"/>
        <v>0</v>
      </c>
      <c r="AQ368" s="5">
        <f t="shared" si="187"/>
        <v>0</v>
      </c>
      <c r="AR368" s="5">
        <f t="shared" si="188"/>
        <v>0</v>
      </c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CB368" s="47"/>
    </row>
    <row r="369" spans="2:80" ht="15" hidden="1" outlineLevel="1" x14ac:dyDescent="0.2">
      <c r="B369" s="18">
        <f t="shared" si="166"/>
        <v>45656</v>
      </c>
      <c r="C369" s="17" t="s">
        <v>1</v>
      </c>
      <c r="D369" s="19">
        <f t="shared" si="167"/>
        <v>45662</v>
      </c>
      <c r="E369" s="20">
        <f t="shared" si="168"/>
        <v>12</v>
      </c>
      <c r="F369" s="21">
        <f t="shared" si="169"/>
        <v>2025</v>
      </c>
      <c r="G369" s="11">
        <f t="shared" si="190"/>
        <v>22</v>
      </c>
      <c r="H369" s="10">
        <f t="shared" si="190"/>
        <v>66</v>
      </c>
      <c r="I369" s="11"/>
      <c r="J369" s="11"/>
      <c r="K369" s="11"/>
      <c r="L369" s="11"/>
      <c r="M369" s="11"/>
      <c r="N369" s="11"/>
      <c r="O369" s="14"/>
      <c r="P369" s="14"/>
      <c r="Q369" s="14"/>
      <c r="R369" s="14"/>
      <c r="S369" s="14"/>
      <c r="T369" s="14"/>
      <c r="V369" s="22">
        <f t="shared" si="189"/>
        <v>0</v>
      </c>
      <c r="W369" s="22">
        <f t="shared" si="189"/>
        <v>0</v>
      </c>
      <c r="X369" s="22">
        <f t="shared" si="189"/>
        <v>0</v>
      </c>
      <c r="Y369" s="22">
        <f t="shared" si="189"/>
        <v>0</v>
      </c>
      <c r="Z369" s="22">
        <f t="shared" si="189"/>
        <v>0</v>
      </c>
      <c r="AA369" s="22">
        <f t="shared" si="189"/>
        <v>0</v>
      </c>
      <c r="AB369" s="1"/>
      <c r="AC369" s="5">
        <f t="shared" si="173"/>
        <v>0</v>
      </c>
      <c r="AD369" s="5">
        <f t="shared" si="174"/>
        <v>0</v>
      </c>
      <c r="AE369" s="5">
        <f t="shared" si="175"/>
        <v>0</v>
      </c>
      <c r="AF369" s="5">
        <f t="shared" si="176"/>
        <v>0</v>
      </c>
      <c r="AG369" s="5">
        <f t="shared" si="177"/>
        <v>0</v>
      </c>
      <c r="AH369" s="5">
        <f t="shared" si="178"/>
        <v>0</v>
      </c>
      <c r="AI369" s="5">
        <f t="shared" si="179"/>
        <v>0</v>
      </c>
      <c r="AJ369" s="5">
        <f t="shared" si="180"/>
        <v>0</v>
      </c>
      <c r="AK369" s="5">
        <f t="shared" si="181"/>
        <v>0</v>
      </c>
      <c r="AL369" s="5">
        <f t="shared" si="182"/>
        <v>0</v>
      </c>
      <c r="AM369" s="5">
        <f t="shared" si="183"/>
        <v>0</v>
      </c>
      <c r="AN369" s="5">
        <f t="shared" si="184"/>
        <v>0</v>
      </c>
      <c r="AO369" s="5">
        <f t="shared" si="185"/>
        <v>0</v>
      </c>
      <c r="AP369" s="5">
        <f t="shared" si="186"/>
        <v>0</v>
      </c>
      <c r="AQ369" s="5">
        <f t="shared" si="187"/>
        <v>0</v>
      </c>
      <c r="AR369" s="5">
        <f t="shared" si="188"/>
        <v>0</v>
      </c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CB369" s="47"/>
    </row>
    <row r="370" spans="2:80" ht="15" hidden="1" outlineLevel="1" x14ac:dyDescent="0.2">
      <c r="B370" s="18">
        <f t="shared" si="166"/>
        <v>45663</v>
      </c>
      <c r="C370" s="17" t="s">
        <v>1</v>
      </c>
      <c r="D370" s="19">
        <f t="shared" si="167"/>
        <v>45669</v>
      </c>
      <c r="E370" s="20">
        <f t="shared" si="168"/>
        <v>1</v>
      </c>
      <c r="F370" s="21">
        <f t="shared" si="169"/>
        <v>2025</v>
      </c>
      <c r="G370" s="11">
        <f t="shared" si="190"/>
        <v>22</v>
      </c>
      <c r="H370" s="10">
        <f t="shared" si="190"/>
        <v>66</v>
      </c>
      <c r="I370" s="11"/>
      <c r="J370" s="11"/>
      <c r="K370" s="11"/>
      <c r="L370" s="11"/>
      <c r="M370" s="11"/>
      <c r="N370" s="11"/>
      <c r="O370" s="14"/>
      <c r="P370" s="14"/>
      <c r="Q370" s="14"/>
      <c r="R370" s="14"/>
      <c r="S370" s="14"/>
      <c r="T370" s="14"/>
      <c r="V370" s="22">
        <f t="shared" si="189"/>
        <v>0</v>
      </c>
      <c r="W370" s="22">
        <f t="shared" si="189"/>
        <v>0</v>
      </c>
      <c r="X370" s="22">
        <f t="shared" si="189"/>
        <v>0</v>
      </c>
      <c r="Y370" s="22">
        <f t="shared" si="189"/>
        <v>0</v>
      </c>
      <c r="Z370" s="22">
        <f t="shared" si="189"/>
        <v>0</v>
      </c>
      <c r="AA370" s="22">
        <f t="shared" si="189"/>
        <v>0</v>
      </c>
      <c r="AB370" s="1"/>
      <c r="AC370" s="5">
        <f t="shared" si="173"/>
        <v>0</v>
      </c>
      <c r="AD370" s="5">
        <f t="shared" si="174"/>
        <v>0</v>
      </c>
      <c r="AE370" s="5">
        <f t="shared" si="175"/>
        <v>0</v>
      </c>
      <c r="AF370" s="5">
        <f t="shared" si="176"/>
        <v>0</v>
      </c>
      <c r="AG370" s="5">
        <f t="shared" si="177"/>
        <v>0</v>
      </c>
      <c r="AH370" s="5">
        <f t="shared" si="178"/>
        <v>0</v>
      </c>
      <c r="AI370" s="5">
        <f t="shared" si="179"/>
        <v>0</v>
      </c>
      <c r="AJ370" s="5">
        <f t="shared" si="180"/>
        <v>0</v>
      </c>
      <c r="AK370" s="5">
        <f t="shared" si="181"/>
        <v>0</v>
      </c>
      <c r="AL370" s="5">
        <f t="shared" si="182"/>
        <v>0</v>
      </c>
      <c r="AM370" s="5">
        <f t="shared" si="183"/>
        <v>0</v>
      </c>
      <c r="AN370" s="5">
        <f t="shared" si="184"/>
        <v>0</v>
      </c>
      <c r="AO370" s="5">
        <f t="shared" si="185"/>
        <v>0</v>
      </c>
      <c r="AP370" s="5">
        <f t="shared" si="186"/>
        <v>0</v>
      </c>
      <c r="AQ370" s="5">
        <f t="shared" si="187"/>
        <v>0</v>
      </c>
      <c r="AR370" s="5">
        <f t="shared" si="188"/>
        <v>0</v>
      </c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CB370" s="47"/>
    </row>
    <row r="371" spans="2:80" ht="15" hidden="1" outlineLevel="1" x14ac:dyDescent="0.2">
      <c r="B371" s="18">
        <f t="shared" si="166"/>
        <v>45670</v>
      </c>
      <c r="C371" s="17" t="s">
        <v>1</v>
      </c>
      <c r="D371" s="19">
        <f t="shared" si="167"/>
        <v>45676</v>
      </c>
      <c r="E371" s="20">
        <f t="shared" si="168"/>
        <v>1</v>
      </c>
      <c r="F371" s="21">
        <f t="shared" si="169"/>
        <v>2025</v>
      </c>
      <c r="G371" s="11">
        <f t="shared" si="190"/>
        <v>22</v>
      </c>
      <c r="H371" s="10">
        <f t="shared" si="190"/>
        <v>66</v>
      </c>
      <c r="I371" s="11"/>
      <c r="J371" s="11"/>
      <c r="K371" s="11"/>
      <c r="L371" s="11"/>
      <c r="M371" s="11"/>
      <c r="N371" s="11"/>
      <c r="O371" s="14"/>
      <c r="P371" s="14"/>
      <c r="Q371" s="14"/>
      <c r="R371" s="14"/>
      <c r="S371" s="14"/>
      <c r="T371" s="14"/>
      <c r="V371" s="22">
        <f t="shared" si="189"/>
        <v>0</v>
      </c>
      <c r="W371" s="22">
        <f t="shared" si="189"/>
        <v>0</v>
      </c>
      <c r="X371" s="22">
        <f t="shared" si="189"/>
        <v>0</v>
      </c>
      <c r="Y371" s="22">
        <f t="shared" si="189"/>
        <v>0</v>
      </c>
      <c r="Z371" s="22">
        <f t="shared" si="189"/>
        <v>0</v>
      </c>
      <c r="AA371" s="22">
        <f t="shared" si="189"/>
        <v>0</v>
      </c>
      <c r="AB371" s="1"/>
      <c r="AC371" s="5">
        <f t="shared" si="173"/>
        <v>0</v>
      </c>
      <c r="AD371" s="5">
        <f t="shared" si="174"/>
        <v>0</v>
      </c>
      <c r="AE371" s="5">
        <f t="shared" si="175"/>
        <v>0</v>
      </c>
      <c r="AF371" s="5">
        <f t="shared" si="176"/>
        <v>0</v>
      </c>
      <c r="AG371" s="5">
        <f t="shared" si="177"/>
        <v>0</v>
      </c>
      <c r="AH371" s="5">
        <f t="shared" si="178"/>
        <v>0</v>
      </c>
      <c r="AI371" s="5">
        <f t="shared" si="179"/>
        <v>0</v>
      </c>
      <c r="AJ371" s="5">
        <f t="shared" si="180"/>
        <v>0</v>
      </c>
      <c r="AK371" s="5">
        <f t="shared" si="181"/>
        <v>0</v>
      </c>
      <c r="AL371" s="5">
        <f t="shared" si="182"/>
        <v>0</v>
      </c>
      <c r="AM371" s="5">
        <f t="shared" si="183"/>
        <v>0</v>
      </c>
      <c r="AN371" s="5">
        <f t="shared" si="184"/>
        <v>0</v>
      </c>
      <c r="AO371" s="5">
        <f t="shared" si="185"/>
        <v>0</v>
      </c>
      <c r="AP371" s="5">
        <f t="shared" si="186"/>
        <v>0</v>
      </c>
      <c r="AQ371" s="5">
        <f t="shared" si="187"/>
        <v>0</v>
      </c>
      <c r="AR371" s="5">
        <f t="shared" si="188"/>
        <v>0</v>
      </c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CB371" s="47"/>
    </row>
    <row r="372" spans="2:80" ht="15" hidden="1" outlineLevel="1" x14ac:dyDescent="0.2">
      <c r="B372" s="18">
        <f t="shared" si="166"/>
        <v>45677</v>
      </c>
      <c r="C372" s="17" t="s">
        <v>1</v>
      </c>
      <c r="D372" s="19">
        <f t="shared" si="167"/>
        <v>45683</v>
      </c>
      <c r="E372" s="20">
        <f t="shared" si="168"/>
        <v>1</v>
      </c>
      <c r="F372" s="21">
        <f t="shared" si="169"/>
        <v>2025</v>
      </c>
      <c r="G372" s="11">
        <f t="shared" si="190"/>
        <v>22</v>
      </c>
      <c r="H372" s="10">
        <f t="shared" si="190"/>
        <v>66</v>
      </c>
      <c r="I372" s="11"/>
      <c r="J372" s="11"/>
      <c r="K372" s="11"/>
      <c r="L372" s="11"/>
      <c r="M372" s="11"/>
      <c r="N372" s="11"/>
      <c r="O372" s="14"/>
      <c r="P372" s="14"/>
      <c r="Q372" s="14"/>
      <c r="R372" s="14"/>
      <c r="S372" s="14"/>
      <c r="T372" s="14"/>
      <c r="V372" s="22">
        <f t="shared" ref="V372:AA387" si="191">IF(I372&gt;0,I372,IF(O372=1,$B372+2,IF(O371=1,1,IF(O371=2,0,IF(V371=$G371,0,(IF(V371&gt;=1,V371+1,0)))))))</f>
        <v>0</v>
      </c>
      <c r="W372" s="22">
        <f t="shared" si="191"/>
        <v>0</v>
      </c>
      <c r="X372" s="22">
        <f t="shared" si="191"/>
        <v>0</v>
      </c>
      <c r="Y372" s="22">
        <f t="shared" si="191"/>
        <v>0</v>
      </c>
      <c r="Z372" s="22">
        <f t="shared" si="191"/>
        <v>0</v>
      </c>
      <c r="AA372" s="22">
        <f t="shared" si="191"/>
        <v>0</v>
      </c>
      <c r="AB372" s="1"/>
      <c r="AC372" s="5">
        <f t="shared" si="173"/>
        <v>0</v>
      </c>
      <c r="AD372" s="5">
        <f t="shared" si="174"/>
        <v>0</v>
      </c>
      <c r="AE372" s="5">
        <f t="shared" si="175"/>
        <v>0</v>
      </c>
      <c r="AF372" s="5">
        <f t="shared" si="176"/>
        <v>0</v>
      </c>
      <c r="AG372" s="5">
        <f t="shared" si="177"/>
        <v>0</v>
      </c>
      <c r="AH372" s="5">
        <f t="shared" si="178"/>
        <v>0</v>
      </c>
      <c r="AI372" s="5">
        <f t="shared" si="179"/>
        <v>0</v>
      </c>
      <c r="AJ372" s="5">
        <f t="shared" si="180"/>
        <v>0</v>
      </c>
      <c r="AK372" s="5">
        <f t="shared" si="181"/>
        <v>0</v>
      </c>
      <c r="AL372" s="5">
        <f t="shared" si="182"/>
        <v>0</v>
      </c>
      <c r="AM372" s="5">
        <f t="shared" si="183"/>
        <v>0</v>
      </c>
      <c r="AN372" s="5">
        <f t="shared" si="184"/>
        <v>0</v>
      </c>
      <c r="AO372" s="5">
        <f t="shared" si="185"/>
        <v>0</v>
      </c>
      <c r="AP372" s="5">
        <f t="shared" si="186"/>
        <v>0</v>
      </c>
      <c r="AQ372" s="5">
        <f t="shared" si="187"/>
        <v>0</v>
      </c>
      <c r="AR372" s="5">
        <f t="shared" si="188"/>
        <v>0</v>
      </c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CB372" s="47"/>
    </row>
    <row r="373" spans="2:80" ht="15" hidden="1" outlineLevel="1" x14ac:dyDescent="0.2">
      <c r="B373" s="18">
        <f t="shared" si="166"/>
        <v>45684</v>
      </c>
      <c r="C373" s="17" t="s">
        <v>1</v>
      </c>
      <c r="D373" s="19">
        <f t="shared" si="167"/>
        <v>45690</v>
      </c>
      <c r="E373" s="20">
        <f t="shared" si="168"/>
        <v>1</v>
      </c>
      <c r="F373" s="21">
        <f t="shared" si="169"/>
        <v>2025</v>
      </c>
      <c r="G373" s="11">
        <f t="shared" si="190"/>
        <v>22</v>
      </c>
      <c r="H373" s="10">
        <f t="shared" si="190"/>
        <v>66</v>
      </c>
      <c r="I373" s="11"/>
      <c r="J373" s="11"/>
      <c r="K373" s="11"/>
      <c r="L373" s="11"/>
      <c r="M373" s="11"/>
      <c r="N373" s="11"/>
      <c r="O373" s="14"/>
      <c r="P373" s="14"/>
      <c r="Q373" s="14"/>
      <c r="R373" s="14"/>
      <c r="S373" s="14"/>
      <c r="T373" s="14"/>
      <c r="V373" s="22">
        <f t="shared" si="191"/>
        <v>0</v>
      </c>
      <c r="W373" s="22">
        <f t="shared" si="191"/>
        <v>0</v>
      </c>
      <c r="X373" s="22">
        <f t="shared" si="191"/>
        <v>0</v>
      </c>
      <c r="Y373" s="22">
        <f t="shared" si="191"/>
        <v>0</v>
      </c>
      <c r="Z373" s="22">
        <f t="shared" si="191"/>
        <v>0</v>
      </c>
      <c r="AA373" s="22">
        <f t="shared" si="191"/>
        <v>0</v>
      </c>
      <c r="AB373" s="1"/>
      <c r="AC373" s="5">
        <f t="shared" si="173"/>
        <v>0</v>
      </c>
      <c r="AD373" s="5">
        <f t="shared" si="174"/>
        <v>0</v>
      </c>
      <c r="AE373" s="5">
        <f t="shared" si="175"/>
        <v>0</v>
      </c>
      <c r="AF373" s="5">
        <f t="shared" si="176"/>
        <v>0</v>
      </c>
      <c r="AG373" s="5">
        <f t="shared" si="177"/>
        <v>0</v>
      </c>
      <c r="AH373" s="5">
        <f t="shared" si="178"/>
        <v>0</v>
      </c>
      <c r="AI373" s="5">
        <f t="shared" si="179"/>
        <v>0</v>
      </c>
      <c r="AJ373" s="5">
        <f t="shared" si="180"/>
        <v>0</v>
      </c>
      <c r="AK373" s="5">
        <f t="shared" si="181"/>
        <v>0</v>
      </c>
      <c r="AL373" s="5">
        <f t="shared" si="182"/>
        <v>0</v>
      </c>
      <c r="AM373" s="5">
        <f t="shared" si="183"/>
        <v>0</v>
      </c>
      <c r="AN373" s="5">
        <f t="shared" si="184"/>
        <v>0</v>
      </c>
      <c r="AO373" s="5">
        <f t="shared" si="185"/>
        <v>0</v>
      </c>
      <c r="AP373" s="5">
        <f t="shared" si="186"/>
        <v>0</v>
      </c>
      <c r="AQ373" s="5">
        <f t="shared" si="187"/>
        <v>0</v>
      </c>
      <c r="AR373" s="5">
        <f t="shared" si="188"/>
        <v>0</v>
      </c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CB373" s="47"/>
    </row>
    <row r="374" spans="2:80" ht="15" hidden="1" outlineLevel="1" x14ac:dyDescent="0.2">
      <c r="B374" s="18">
        <f t="shared" si="166"/>
        <v>45691</v>
      </c>
      <c r="C374" s="17" t="s">
        <v>1</v>
      </c>
      <c r="D374" s="19">
        <f t="shared" si="167"/>
        <v>45697</v>
      </c>
      <c r="E374" s="20">
        <f t="shared" si="168"/>
        <v>2</v>
      </c>
      <c r="F374" s="21">
        <f t="shared" si="169"/>
        <v>2025</v>
      </c>
      <c r="G374" s="11">
        <f t="shared" ref="G374:H389" si="192">G373</f>
        <v>22</v>
      </c>
      <c r="H374" s="10">
        <f t="shared" si="192"/>
        <v>66</v>
      </c>
      <c r="I374" s="11"/>
      <c r="J374" s="11"/>
      <c r="K374" s="11"/>
      <c r="L374" s="11"/>
      <c r="M374" s="11"/>
      <c r="N374" s="11"/>
      <c r="O374" s="14"/>
      <c r="P374" s="14"/>
      <c r="Q374" s="14"/>
      <c r="R374" s="14"/>
      <c r="S374" s="14"/>
      <c r="T374" s="14"/>
      <c r="V374" s="22">
        <f t="shared" si="191"/>
        <v>0</v>
      </c>
      <c r="W374" s="22">
        <f t="shared" si="191"/>
        <v>0</v>
      </c>
      <c r="X374" s="22">
        <f t="shared" si="191"/>
        <v>0</v>
      </c>
      <c r="Y374" s="22">
        <f t="shared" si="191"/>
        <v>0</v>
      </c>
      <c r="Z374" s="22">
        <f t="shared" si="191"/>
        <v>0</v>
      </c>
      <c r="AA374" s="22">
        <f t="shared" si="191"/>
        <v>0</v>
      </c>
      <c r="AB374" s="1"/>
      <c r="AC374" s="5">
        <f t="shared" si="173"/>
        <v>0</v>
      </c>
      <c r="AD374" s="5">
        <f t="shared" si="174"/>
        <v>0</v>
      </c>
      <c r="AE374" s="5">
        <f t="shared" si="175"/>
        <v>0</v>
      </c>
      <c r="AF374" s="5">
        <f t="shared" si="176"/>
        <v>0</v>
      </c>
      <c r="AG374" s="5">
        <f t="shared" si="177"/>
        <v>0</v>
      </c>
      <c r="AH374" s="5">
        <f t="shared" si="178"/>
        <v>0</v>
      </c>
      <c r="AI374" s="5">
        <f t="shared" si="179"/>
        <v>0</v>
      </c>
      <c r="AJ374" s="5">
        <f t="shared" si="180"/>
        <v>0</v>
      </c>
      <c r="AK374" s="5">
        <f t="shared" si="181"/>
        <v>0</v>
      </c>
      <c r="AL374" s="5">
        <f t="shared" si="182"/>
        <v>0</v>
      </c>
      <c r="AM374" s="5">
        <f t="shared" si="183"/>
        <v>0</v>
      </c>
      <c r="AN374" s="5">
        <f t="shared" si="184"/>
        <v>0</v>
      </c>
      <c r="AO374" s="5">
        <f t="shared" si="185"/>
        <v>0</v>
      </c>
      <c r="AP374" s="5">
        <f t="shared" si="186"/>
        <v>0</v>
      </c>
      <c r="AQ374" s="5">
        <f t="shared" si="187"/>
        <v>0</v>
      </c>
      <c r="AR374" s="5">
        <f t="shared" si="188"/>
        <v>0</v>
      </c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CB374" s="47"/>
    </row>
    <row r="375" spans="2:80" ht="15" hidden="1" outlineLevel="1" x14ac:dyDescent="0.2">
      <c r="B375" s="18">
        <f t="shared" si="166"/>
        <v>45698</v>
      </c>
      <c r="C375" s="17" t="s">
        <v>1</v>
      </c>
      <c r="D375" s="19">
        <f t="shared" si="167"/>
        <v>45704</v>
      </c>
      <c r="E375" s="20">
        <f t="shared" si="168"/>
        <v>2</v>
      </c>
      <c r="F375" s="21">
        <f t="shared" si="169"/>
        <v>2025</v>
      </c>
      <c r="G375" s="11">
        <f t="shared" si="192"/>
        <v>22</v>
      </c>
      <c r="H375" s="10">
        <f t="shared" si="192"/>
        <v>66</v>
      </c>
      <c r="I375" s="11"/>
      <c r="J375" s="11"/>
      <c r="K375" s="11"/>
      <c r="L375" s="11"/>
      <c r="M375" s="11"/>
      <c r="N375" s="11"/>
      <c r="O375" s="14"/>
      <c r="P375" s="14"/>
      <c r="Q375" s="14"/>
      <c r="R375" s="14"/>
      <c r="S375" s="14"/>
      <c r="T375" s="14"/>
      <c r="V375" s="22">
        <f t="shared" si="191"/>
        <v>0</v>
      </c>
      <c r="W375" s="22">
        <f t="shared" si="191"/>
        <v>0</v>
      </c>
      <c r="X375" s="22">
        <f t="shared" si="191"/>
        <v>0</v>
      </c>
      <c r="Y375" s="22">
        <f t="shared" si="191"/>
        <v>0</v>
      </c>
      <c r="Z375" s="22">
        <f t="shared" si="191"/>
        <v>0</v>
      </c>
      <c r="AA375" s="22">
        <f t="shared" si="191"/>
        <v>0</v>
      </c>
      <c r="AB375" s="1"/>
      <c r="AC375" s="5">
        <f t="shared" si="173"/>
        <v>0</v>
      </c>
      <c r="AD375" s="5">
        <f t="shared" si="174"/>
        <v>0</v>
      </c>
      <c r="AE375" s="5">
        <f t="shared" si="175"/>
        <v>0</v>
      </c>
      <c r="AF375" s="5">
        <f t="shared" si="176"/>
        <v>0</v>
      </c>
      <c r="AG375" s="5">
        <f t="shared" si="177"/>
        <v>0</v>
      </c>
      <c r="AH375" s="5">
        <f t="shared" si="178"/>
        <v>0</v>
      </c>
      <c r="AI375" s="5">
        <f t="shared" si="179"/>
        <v>0</v>
      </c>
      <c r="AJ375" s="5">
        <f t="shared" si="180"/>
        <v>0</v>
      </c>
      <c r="AK375" s="5">
        <f t="shared" si="181"/>
        <v>0</v>
      </c>
      <c r="AL375" s="5">
        <f t="shared" si="182"/>
        <v>0</v>
      </c>
      <c r="AM375" s="5">
        <f t="shared" si="183"/>
        <v>0</v>
      </c>
      <c r="AN375" s="5">
        <f t="shared" si="184"/>
        <v>0</v>
      </c>
      <c r="AO375" s="5">
        <f t="shared" si="185"/>
        <v>0</v>
      </c>
      <c r="AP375" s="5">
        <f t="shared" si="186"/>
        <v>0</v>
      </c>
      <c r="AQ375" s="5">
        <f t="shared" si="187"/>
        <v>0</v>
      </c>
      <c r="AR375" s="5">
        <f t="shared" si="188"/>
        <v>0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CB375" s="47"/>
    </row>
    <row r="376" spans="2:80" ht="15" hidden="1" outlineLevel="1" x14ac:dyDescent="0.2">
      <c r="B376" s="18">
        <f t="shared" si="166"/>
        <v>45705</v>
      </c>
      <c r="C376" s="17" t="s">
        <v>1</v>
      </c>
      <c r="D376" s="19">
        <f t="shared" si="167"/>
        <v>45711</v>
      </c>
      <c r="E376" s="20">
        <f t="shared" si="168"/>
        <v>2</v>
      </c>
      <c r="F376" s="21">
        <f t="shared" si="169"/>
        <v>2025</v>
      </c>
      <c r="G376" s="11">
        <f t="shared" si="192"/>
        <v>22</v>
      </c>
      <c r="H376" s="10">
        <f t="shared" si="192"/>
        <v>66</v>
      </c>
      <c r="I376" s="11"/>
      <c r="J376" s="11"/>
      <c r="K376" s="11"/>
      <c r="L376" s="11"/>
      <c r="M376" s="11"/>
      <c r="N376" s="11"/>
      <c r="O376" s="14"/>
      <c r="P376" s="14"/>
      <c r="Q376" s="14"/>
      <c r="R376" s="14"/>
      <c r="S376" s="14"/>
      <c r="T376" s="14"/>
      <c r="V376" s="22">
        <f t="shared" si="191"/>
        <v>0</v>
      </c>
      <c r="W376" s="22">
        <f t="shared" si="191"/>
        <v>0</v>
      </c>
      <c r="X376" s="22">
        <f t="shared" si="191"/>
        <v>0</v>
      </c>
      <c r="Y376" s="22">
        <f t="shared" si="191"/>
        <v>0</v>
      </c>
      <c r="Z376" s="22">
        <f t="shared" si="191"/>
        <v>0</v>
      </c>
      <c r="AA376" s="22">
        <f t="shared" si="191"/>
        <v>0</v>
      </c>
      <c r="AB376" s="1"/>
      <c r="AC376" s="5">
        <f t="shared" si="173"/>
        <v>0</v>
      </c>
      <c r="AD376" s="5">
        <f t="shared" si="174"/>
        <v>0</v>
      </c>
      <c r="AE376" s="5">
        <f t="shared" si="175"/>
        <v>0</v>
      </c>
      <c r="AF376" s="5">
        <f t="shared" si="176"/>
        <v>0</v>
      </c>
      <c r="AG376" s="5">
        <f t="shared" si="177"/>
        <v>0</v>
      </c>
      <c r="AH376" s="5">
        <f t="shared" si="178"/>
        <v>0</v>
      </c>
      <c r="AI376" s="5">
        <f t="shared" si="179"/>
        <v>0</v>
      </c>
      <c r="AJ376" s="5">
        <f t="shared" si="180"/>
        <v>0</v>
      </c>
      <c r="AK376" s="5">
        <f t="shared" si="181"/>
        <v>0</v>
      </c>
      <c r="AL376" s="5">
        <f t="shared" si="182"/>
        <v>0</v>
      </c>
      <c r="AM376" s="5">
        <f t="shared" si="183"/>
        <v>0</v>
      </c>
      <c r="AN376" s="5">
        <f t="shared" si="184"/>
        <v>0</v>
      </c>
      <c r="AO376" s="5">
        <f t="shared" si="185"/>
        <v>0</v>
      </c>
      <c r="AP376" s="5">
        <f t="shared" si="186"/>
        <v>0</v>
      </c>
      <c r="AQ376" s="5">
        <f t="shared" si="187"/>
        <v>0</v>
      </c>
      <c r="AR376" s="5">
        <f t="shared" si="188"/>
        <v>0</v>
      </c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CB376" s="47"/>
    </row>
    <row r="377" spans="2:80" ht="15" hidden="1" outlineLevel="1" x14ac:dyDescent="0.2">
      <c r="B377" s="18">
        <f t="shared" si="166"/>
        <v>45712</v>
      </c>
      <c r="C377" s="17" t="s">
        <v>1</v>
      </c>
      <c r="D377" s="19">
        <f t="shared" si="167"/>
        <v>45718</v>
      </c>
      <c r="E377" s="20">
        <f t="shared" si="168"/>
        <v>2</v>
      </c>
      <c r="F377" s="21">
        <f t="shared" si="169"/>
        <v>2025</v>
      </c>
      <c r="G377" s="11">
        <f t="shared" si="192"/>
        <v>22</v>
      </c>
      <c r="H377" s="10">
        <f t="shared" si="192"/>
        <v>66</v>
      </c>
      <c r="I377" s="11"/>
      <c r="J377" s="11"/>
      <c r="K377" s="11"/>
      <c r="L377" s="11"/>
      <c r="M377" s="11"/>
      <c r="N377" s="11"/>
      <c r="O377" s="14"/>
      <c r="P377" s="14"/>
      <c r="Q377" s="14"/>
      <c r="R377" s="14"/>
      <c r="S377" s="14"/>
      <c r="T377" s="14"/>
      <c r="V377" s="22">
        <f t="shared" si="191"/>
        <v>0</v>
      </c>
      <c r="W377" s="22">
        <f t="shared" si="191"/>
        <v>0</v>
      </c>
      <c r="X377" s="22">
        <f t="shared" si="191"/>
        <v>0</v>
      </c>
      <c r="Y377" s="22">
        <f t="shared" si="191"/>
        <v>0</v>
      </c>
      <c r="Z377" s="22">
        <f t="shared" si="191"/>
        <v>0</v>
      </c>
      <c r="AA377" s="22">
        <f t="shared" si="191"/>
        <v>0</v>
      </c>
      <c r="AB377" s="1"/>
      <c r="AC377" s="5">
        <f t="shared" si="173"/>
        <v>0</v>
      </c>
      <c r="AD377" s="5">
        <f t="shared" si="174"/>
        <v>0</v>
      </c>
      <c r="AE377" s="5">
        <f t="shared" si="175"/>
        <v>0</v>
      </c>
      <c r="AF377" s="5">
        <f t="shared" si="176"/>
        <v>0</v>
      </c>
      <c r="AG377" s="5">
        <f t="shared" si="177"/>
        <v>0</v>
      </c>
      <c r="AH377" s="5">
        <f t="shared" si="178"/>
        <v>0</v>
      </c>
      <c r="AI377" s="5">
        <f t="shared" si="179"/>
        <v>0</v>
      </c>
      <c r="AJ377" s="5">
        <f t="shared" si="180"/>
        <v>0</v>
      </c>
      <c r="AK377" s="5">
        <f t="shared" si="181"/>
        <v>0</v>
      </c>
      <c r="AL377" s="5">
        <f t="shared" si="182"/>
        <v>0</v>
      </c>
      <c r="AM377" s="5">
        <f t="shared" si="183"/>
        <v>0</v>
      </c>
      <c r="AN377" s="5">
        <f t="shared" si="184"/>
        <v>0</v>
      </c>
      <c r="AO377" s="5">
        <f t="shared" si="185"/>
        <v>0</v>
      </c>
      <c r="AP377" s="5">
        <f t="shared" si="186"/>
        <v>0</v>
      </c>
      <c r="AQ377" s="5">
        <f t="shared" si="187"/>
        <v>0</v>
      </c>
      <c r="AR377" s="5">
        <f t="shared" si="188"/>
        <v>0</v>
      </c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CB377" s="47"/>
    </row>
    <row r="378" spans="2:80" ht="15" hidden="1" outlineLevel="1" x14ac:dyDescent="0.2">
      <c r="B378" s="18">
        <f t="shared" si="166"/>
        <v>45719</v>
      </c>
      <c r="C378" s="17" t="s">
        <v>1</v>
      </c>
      <c r="D378" s="19">
        <f t="shared" si="167"/>
        <v>45725</v>
      </c>
      <c r="E378" s="20">
        <f t="shared" si="168"/>
        <v>3</v>
      </c>
      <c r="F378" s="21">
        <f t="shared" si="169"/>
        <v>2025</v>
      </c>
      <c r="G378" s="11">
        <f t="shared" si="192"/>
        <v>22</v>
      </c>
      <c r="H378" s="10">
        <f t="shared" si="192"/>
        <v>66</v>
      </c>
      <c r="I378" s="11"/>
      <c r="J378" s="11"/>
      <c r="K378" s="11"/>
      <c r="L378" s="11"/>
      <c r="M378" s="11"/>
      <c r="N378" s="11"/>
      <c r="O378" s="14"/>
      <c r="P378" s="14"/>
      <c r="Q378" s="14"/>
      <c r="R378" s="14"/>
      <c r="S378" s="14"/>
      <c r="T378" s="14"/>
      <c r="V378" s="22">
        <f t="shared" si="191"/>
        <v>0</v>
      </c>
      <c r="W378" s="22">
        <f t="shared" si="191"/>
        <v>0</v>
      </c>
      <c r="X378" s="22">
        <f t="shared" si="191"/>
        <v>0</v>
      </c>
      <c r="Y378" s="22">
        <f t="shared" si="191"/>
        <v>0</v>
      </c>
      <c r="Z378" s="22">
        <f t="shared" si="191"/>
        <v>0</v>
      </c>
      <c r="AA378" s="22">
        <f t="shared" si="191"/>
        <v>0</v>
      </c>
      <c r="AB378" s="1"/>
      <c r="AC378" s="5">
        <f t="shared" si="173"/>
        <v>0</v>
      </c>
      <c r="AD378" s="5">
        <f t="shared" si="174"/>
        <v>0</v>
      </c>
      <c r="AE378" s="5">
        <f t="shared" si="175"/>
        <v>0</v>
      </c>
      <c r="AF378" s="5">
        <f t="shared" si="176"/>
        <v>0</v>
      </c>
      <c r="AG378" s="5">
        <f t="shared" si="177"/>
        <v>0</v>
      </c>
      <c r="AH378" s="5">
        <f t="shared" si="178"/>
        <v>0</v>
      </c>
      <c r="AI378" s="5">
        <f t="shared" si="179"/>
        <v>0</v>
      </c>
      <c r="AJ378" s="5">
        <f t="shared" si="180"/>
        <v>0</v>
      </c>
      <c r="AK378" s="5">
        <f t="shared" si="181"/>
        <v>0</v>
      </c>
      <c r="AL378" s="5">
        <f t="shared" si="182"/>
        <v>0</v>
      </c>
      <c r="AM378" s="5">
        <f t="shared" si="183"/>
        <v>0</v>
      </c>
      <c r="AN378" s="5">
        <f t="shared" si="184"/>
        <v>0</v>
      </c>
      <c r="AO378" s="5">
        <f t="shared" si="185"/>
        <v>0</v>
      </c>
      <c r="AP378" s="5">
        <f t="shared" si="186"/>
        <v>0</v>
      </c>
      <c r="AQ378" s="5">
        <f t="shared" si="187"/>
        <v>0</v>
      </c>
      <c r="AR378" s="5">
        <f t="shared" si="188"/>
        <v>0</v>
      </c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CB378" s="47"/>
    </row>
    <row r="379" spans="2:80" ht="15" hidden="1" outlineLevel="1" x14ac:dyDescent="0.2">
      <c r="B379" s="18">
        <f t="shared" si="166"/>
        <v>45726</v>
      </c>
      <c r="C379" s="17" t="s">
        <v>1</v>
      </c>
      <c r="D379" s="19">
        <f t="shared" si="167"/>
        <v>45732</v>
      </c>
      <c r="E379" s="20">
        <f t="shared" si="168"/>
        <v>3</v>
      </c>
      <c r="F379" s="21">
        <f t="shared" si="169"/>
        <v>2025</v>
      </c>
      <c r="G379" s="11">
        <f t="shared" si="192"/>
        <v>22</v>
      </c>
      <c r="H379" s="10">
        <f t="shared" si="192"/>
        <v>66</v>
      </c>
      <c r="I379" s="11"/>
      <c r="J379" s="11"/>
      <c r="K379" s="11"/>
      <c r="L379" s="11"/>
      <c r="M379" s="11"/>
      <c r="N379" s="11"/>
      <c r="O379" s="14"/>
      <c r="P379" s="14"/>
      <c r="Q379" s="14"/>
      <c r="R379" s="14"/>
      <c r="S379" s="14"/>
      <c r="T379" s="14"/>
      <c r="V379" s="22">
        <f t="shared" si="191"/>
        <v>0</v>
      </c>
      <c r="W379" s="22">
        <f t="shared" si="191"/>
        <v>0</v>
      </c>
      <c r="X379" s="22">
        <f t="shared" si="191"/>
        <v>0</v>
      </c>
      <c r="Y379" s="22">
        <f t="shared" si="191"/>
        <v>0</v>
      </c>
      <c r="Z379" s="22">
        <f t="shared" si="191"/>
        <v>0</v>
      </c>
      <c r="AA379" s="22">
        <f t="shared" si="191"/>
        <v>0</v>
      </c>
      <c r="AB379" s="1"/>
      <c r="AC379" s="5">
        <f t="shared" si="173"/>
        <v>0</v>
      </c>
      <c r="AD379" s="5">
        <f t="shared" si="174"/>
        <v>0</v>
      </c>
      <c r="AE379" s="5">
        <f t="shared" si="175"/>
        <v>0</v>
      </c>
      <c r="AF379" s="5">
        <f t="shared" si="176"/>
        <v>0</v>
      </c>
      <c r="AG379" s="5">
        <f t="shared" si="177"/>
        <v>0</v>
      </c>
      <c r="AH379" s="5">
        <f t="shared" si="178"/>
        <v>0</v>
      </c>
      <c r="AI379" s="5">
        <f t="shared" si="179"/>
        <v>0</v>
      </c>
      <c r="AJ379" s="5">
        <f t="shared" si="180"/>
        <v>0</v>
      </c>
      <c r="AK379" s="5">
        <f t="shared" si="181"/>
        <v>0</v>
      </c>
      <c r="AL379" s="5">
        <f t="shared" si="182"/>
        <v>0</v>
      </c>
      <c r="AM379" s="5">
        <f t="shared" si="183"/>
        <v>0</v>
      </c>
      <c r="AN379" s="5">
        <f t="shared" si="184"/>
        <v>0</v>
      </c>
      <c r="AO379" s="5">
        <f t="shared" si="185"/>
        <v>0</v>
      </c>
      <c r="AP379" s="5">
        <f t="shared" si="186"/>
        <v>0</v>
      </c>
      <c r="AQ379" s="5">
        <f t="shared" si="187"/>
        <v>0</v>
      </c>
      <c r="AR379" s="5">
        <f t="shared" si="188"/>
        <v>0</v>
      </c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CB379" s="47"/>
    </row>
    <row r="380" spans="2:80" ht="15" hidden="1" outlineLevel="1" x14ac:dyDescent="0.2">
      <c r="B380" s="18">
        <f t="shared" si="166"/>
        <v>45733</v>
      </c>
      <c r="C380" s="17" t="s">
        <v>1</v>
      </c>
      <c r="D380" s="19">
        <f t="shared" si="167"/>
        <v>45739</v>
      </c>
      <c r="E380" s="20">
        <f t="shared" si="168"/>
        <v>3</v>
      </c>
      <c r="F380" s="21">
        <f t="shared" si="169"/>
        <v>2025</v>
      </c>
      <c r="G380" s="11">
        <f t="shared" si="192"/>
        <v>22</v>
      </c>
      <c r="H380" s="10">
        <f t="shared" si="192"/>
        <v>66</v>
      </c>
      <c r="I380" s="11"/>
      <c r="J380" s="11"/>
      <c r="K380" s="11"/>
      <c r="L380" s="11"/>
      <c r="M380" s="11"/>
      <c r="N380" s="11"/>
      <c r="O380" s="14"/>
      <c r="P380" s="14"/>
      <c r="Q380" s="14"/>
      <c r="R380" s="14"/>
      <c r="S380" s="14"/>
      <c r="T380" s="14"/>
      <c r="V380" s="22">
        <f t="shared" si="191"/>
        <v>0</v>
      </c>
      <c r="W380" s="22">
        <f t="shared" si="191"/>
        <v>0</v>
      </c>
      <c r="X380" s="22">
        <f t="shared" si="191"/>
        <v>0</v>
      </c>
      <c r="Y380" s="22">
        <f t="shared" si="191"/>
        <v>0</v>
      </c>
      <c r="Z380" s="22">
        <f t="shared" si="191"/>
        <v>0</v>
      </c>
      <c r="AA380" s="22">
        <f t="shared" si="191"/>
        <v>0</v>
      </c>
      <c r="AB380" s="1"/>
      <c r="AC380" s="5">
        <f t="shared" si="173"/>
        <v>0</v>
      </c>
      <c r="AD380" s="5">
        <f t="shared" si="174"/>
        <v>0</v>
      </c>
      <c r="AE380" s="5">
        <f t="shared" si="175"/>
        <v>0</v>
      </c>
      <c r="AF380" s="5">
        <f t="shared" si="176"/>
        <v>0</v>
      </c>
      <c r="AG380" s="5">
        <f t="shared" si="177"/>
        <v>0</v>
      </c>
      <c r="AH380" s="5">
        <f t="shared" si="178"/>
        <v>0</v>
      </c>
      <c r="AI380" s="5">
        <f t="shared" si="179"/>
        <v>0</v>
      </c>
      <c r="AJ380" s="5">
        <f t="shared" si="180"/>
        <v>0</v>
      </c>
      <c r="AK380" s="5">
        <f t="shared" si="181"/>
        <v>0</v>
      </c>
      <c r="AL380" s="5">
        <f t="shared" si="182"/>
        <v>0</v>
      </c>
      <c r="AM380" s="5">
        <f t="shared" si="183"/>
        <v>0</v>
      </c>
      <c r="AN380" s="5">
        <f t="shared" si="184"/>
        <v>0</v>
      </c>
      <c r="AO380" s="5">
        <f t="shared" si="185"/>
        <v>0</v>
      </c>
      <c r="AP380" s="5">
        <f t="shared" si="186"/>
        <v>0</v>
      </c>
      <c r="AQ380" s="5">
        <f t="shared" si="187"/>
        <v>0</v>
      </c>
      <c r="AR380" s="5">
        <f t="shared" si="188"/>
        <v>0</v>
      </c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CB380" s="47"/>
    </row>
    <row r="381" spans="2:80" ht="15" hidden="1" outlineLevel="1" x14ac:dyDescent="0.2">
      <c r="B381" s="18">
        <f t="shared" si="166"/>
        <v>45740</v>
      </c>
      <c r="C381" s="17" t="s">
        <v>1</v>
      </c>
      <c r="D381" s="19">
        <f t="shared" si="167"/>
        <v>45746</v>
      </c>
      <c r="E381" s="20">
        <f t="shared" si="168"/>
        <v>3</v>
      </c>
      <c r="F381" s="21">
        <f t="shared" si="169"/>
        <v>2025</v>
      </c>
      <c r="G381" s="11">
        <f t="shared" si="192"/>
        <v>22</v>
      </c>
      <c r="H381" s="10">
        <f t="shared" si="192"/>
        <v>66</v>
      </c>
      <c r="I381" s="11"/>
      <c r="J381" s="11"/>
      <c r="K381" s="11"/>
      <c r="L381" s="11"/>
      <c r="M381" s="11"/>
      <c r="N381" s="11"/>
      <c r="O381" s="14"/>
      <c r="P381" s="14"/>
      <c r="Q381" s="14"/>
      <c r="R381" s="14"/>
      <c r="S381" s="14"/>
      <c r="T381" s="14"/>
      <c r="V381" s="22">
        <f t="shared" si="191"/>
        <v>0</v>
      </c>
      <c r="W381" s="22">
        <f t="shared" si="191"/>
        <v>0</v>
      </c>
      <c r="X381" s="22">
        <f t="shared" si="191"/>
        <v>0</v>
      </c>
      <c r="Y381" s="22">
        <f t="shared" si="191"/>
        <v>0</v>
      </c>
      <c r="Z381" s="22">
        <f t="shared" si="191"/>
        <v>0</v>
      </c>
      <c r="AA381" s="22">
        <f t="shared" si="191"/>
        <v>0</v>
      </c>
      <c r="AB381" s="1"/>
      <c r="AC381" s="5">
        <f t="shared" si="173"/>
        <v>0</v>
      </c>
      <c r="AD381" s="5">
        <f t="shared" si="174"/>
        <v>0</v>
      </c>
      <c r="AE381" s="5">
        <f t="shared" si="175"/>
        <v>0</v>
      </c>
      <c r="AF381" s="5">
        <f t="shared" si="176"/>
        <v>0</v>
      </c>
      <c r="AG381" s="5">
        <f t="shared" si="177"/>
        <v>0</v>
      </c>
      <c r="AH381" s="5">
        <f t="shared" si="178"/>
        <v>0</v>
      </c>
      <c r="AI381" s="5">
        <f t="shared" si="179"/>
        <v>0</v>
      </c>
      <c r="AJ381" s="5">
        <f t="shared" si="180"/>
        <v>0</v>
      </c>
      <c r="AK381" s="5">
        <f t="shared" si="181"/>
        <v>0</v>
      </c>
      <c r="AL381" s="5">
        <f t="shared" si="182"/>
        <v>0</v>
      </c>
      <c r="AM381" s="5">
        <f t="shared" si="183"/>
        <v>0</v>
      </c>
      <c r="AN381" s="5">
        <f t="shared" si="184"/>
        <v>0</v>
      </c>
      <c r="AO381" s="5">
        <f t="shared" si="185"/>
        <v>0</v>
      </c>
      <c r="AP381" s="5">
        <f t="shared" si="186"/>
        <v>0</v>
      </c>
      <c r="AQ381" s="5">
        <f t="shared" si="187"/>
        <v>0</v>
      </c>
      <c r="AR381" s="5">
        <f t="shared" si="188"/>
        <v>0</v>
      </c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CB381" s="47"/>
    </row>
    <row r="382" spans="2:80" ht="15" hidden="1" outlineLevel="1" x14ac:dyDescent="0.2">
      <c r="B382" s="18">
        <f t="shared" si="166"/>
        <v>45747</v>
      </c>
      <c r="C382" s="17" t="s">
        <v>1</v>
      </c>
      <c r="D382" s="19">
        <f t="shared" si="167"/>
        <v>45753</v>
      </c>
      <c r="E382" s="20">
        <f t="shared" si="168"/>
        <v>3</v>
      </c>
      <c r="F382" s="21">
        <f t="shared" si="169"/>
        <v>2025</v>
      </c>
      <c r="G382" s="11">
        <f t="shared" si="192"/>
        <v>22</v>
      </c>
      <c r="H382" s="10">
        <f t="shared" si="192"/>
        <v>66</v>
      </c>
      <c r="I382" s="11"/>
      <c r="J382" s="11"/>
      <c r="K382" s="11"/>
      <c r="L382" s="11"/>
      <c r="M382" s="11"/>
      <c r="N382" s="11"/>
      <c r="O382" s="14"/>
      <c r="P382" s="14"/>
      <c r="Q382" s="14"/>
      <c r="R382" s="14"/>
      <c r="S382" s="14"/>
      <c r="T382" s="14"/>
      <c r="V382" s="22">
        <f t="shared" si="191"/>
        <v>0</v>
      </c>
      <c r="W382" s="22">
        <f t="shared" si="191"/>
        <v>0</v>
      </c>
      <c r="X382" s="22">
        <f t="shared" si="191"/>
        <v>0</v>
      </c>
      <c r="Y382" s="22">
        <f t="shared" si="191"/>
        <v>0</v>
      </c>
      <c r="Z382" s="22">
        <f t="shared" si="191"/>
        <v>0</v>
      </c>
      <c r="AA382" s="22">
        <f t="shared" si="191"/>
        <v>0</v>
      </c>
      <c r="AB382" s="1"/>
      <c r="AC382" s="5">
        <f t="shared" si="173"/>
        <v>0</v>
      </c>
      <c r="AD382" s="5">
        <f t="shared" si="174"/>
        <v>0</v>
      </c>
      <c r="AE382" s="5">
        <f t="shared" si="175"/>
        <v>0</v>
      </c>
      <c r="AF382" s="5">
        <f t="shared" si="176"/>
        <v>0</v>
      </c>
      <c r="AG382" s="5">
        <f t="shared" si="177"/>
        <v>0</v>
      </c>
      <c r="AH382" s="5">
        <f t="shared" si="178"/>
        <v>0</v>
      </c>
      <c r="AI382" s="5">
        <f t="shared" si="179"/>
        <v>0</v>
      </c>
      <c r="AJ382" s="5">
        <f t="shared" si="180"/>
        <v>0</v>
      </c>
      <c r="AK382" s="5">
        <f t="shared" si="181"/>
        <v>0</v>
      </c>
      <c r="AL382" s="5">
        <f t="shared" si="182"/>
        <v>0</v>
      </c>
      <c r="AM382" s="5">
        <f t="shared" si="183"/>
        <v>0</v>
      </c>
      <c r="AN382" s="5">
        <f t="shared" si="184"/>
        <v>0</v>
      </c>
      <c r="AO382" s="5">
        <f t="shared" si="185"/>
        <v>0</v>
      </c>
      <c r="AP382" s="5">
        <f t="shared" si="186"/>
        <v>0</v>
      </c>
      <c r="AQ382" s="5">
        <f t="shared" si="187"/>
        <v>0</v>
      </c>
      <c r="AR382" s="5">
        <f t="shared" si="188"/>
        <v>0</v>
      </c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CB382" s="47"/>
    </row>
    <row r="383" spans="2:80" ht="15" hidden="1" outlineLevel="1" x14ac:dyDescent="0.2">
      <c r="B383" s="18">
        <f t="shared" si="166"/>
        <v>45754</v>
      </c>
      <c r="C383" s="17" t="s">
        <v>1</v>
      </c>
      <c r="D383" s="19">
        <f t="shared" si="167"/>
        <v>45760</v>
      </c>
      <c r="E383" s="20">
        <f t="shared" si="168"/>
        <v>4</v>
      </c>
      <c r="F383" s="21">
        <f t="shared" si="169"/>
        <v>2025</v>
      </c>
      <c r="G383" s="11">
        <f t="shared" si="192"/>
        <v>22</v>
      </c>
      <c r="H383" s="10">
        <f t="shared" si="192"/>
        <v>66</v>
      </c>
      <c r="I383" s="11"/>
      <c r="J383" s="11"/>
      <c r="K383" s="11"/>
      <c r="L383" s="11"/>
      <c r="M383" s="11"/>
      <c r="N383" s="11"/>
      <c r="O383" s="14"/>
      <c r="P383" s="14"/>
      <c r="Q383" s="14"/>
      <c r="R383" s="14"/>
      <c r="S383" s="14"/>
      <c r="T383" s="14"/>
      <c r="V383" s="22">
        <f t="shared" si="191"/>
        <v>0</v>
      </c>
      <c r="W383" s="22">
        <f t="shared" si="191"/>
        <v>0</v>
      </c>
      <c r="X383" s="22">
        <f t="shared" si="191"/>
        <v>0</v>
      </c>
      <c r="Y383" s="22">
        <f t="shared" si="191"/>
        <v>0</v>
      </c>
      <c r="Z383" s="22">
        <f t="shared" si="191"/>
        <v>0</v>
      </c>
      <c r="AA383" s="22">
        <f t="shared" si="191"/>
        <v>0</v>
      </c>
      <c r="AB383" s="1"/>
      <c r="AC383" s="5">
        <f t="shared" si="173"/>
        <v>0</v>
      </c>
      <c r="AD383" s="5">
        <f t="shared" si="174"/>
        <v>0</v>
      </c>
      <c r="AE383" s="5">
        <f t="shared" si="175"/>
        <v>0</v>
      </c>
      <c r="AF383" s="5">
        <f t="shared" si="176"/>
        <v>0</v>
      </c>
      <c r="AG383" s="5">
        <f t="shared" si="177"/>
        <v>0</v>
      </c>
      <c r="AH383" s="5">
        <f t="shared" si="178"/>
        <v>0</v>
      </c>
      <c r="AI383" s="5">
        <f t="shared" si="179"/>
        <v>0</v>
      </c>
      <c r="AJ383" s="5">
        <f t="shared" si="180"/>
        <v>0</v>
      </c>
      <c r="AK383" s="5">
        <f t="shared" si="181"/>
        <v>0</v>
      </c>
      <c r="AL383" s="5">
        <f t="shared" si="182"/>
        <v>0</v>
      </c>
      <c r="AM383" s="5">
        <f t="shared" si="183"/>
        <v>0</v>
      </c>
      <c r="AN383" s="5">
        <f t="shared" si="184"/>
        <v>0</v>
      </c>
      <c r="AO383" s="5">
        <f t="shared" si="185"/>
        <v>0</v>
      </c>
      <c r="AP383" s="5">
        <f t="shared" si="186"/>
        <v>0</v>
      </c>
      <c r="AQ383" s="5">
        <f t="shared" si="187"/>
        <v>0</v>
      </c>
      <c r="AR383" s="5">
        <f t="shared" si="188"/>
        <v>0</v>
      </c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CB383" s="47"/>
    </row>
    <row r="384" spans="2:80" ht="15" hidden="1" outlineLevel="1" x14ac:dyDescent="0.2">
      <c r="B384" s="18">
        <f t="shared" si="166"/>
        <v>45761</v>
      </c>
      <c r="C384" s="17" t="s">
        <v>1</v>
      </c>
      <c r="D384" s="19">
        <f t="shared" si="167"/>
        <v>45767</v>
      </c>
      <c r="E384" s="20">
        <f t="shared" si="168"/>
        <v>4</v>
      </c>
      <c r="F384" s="21">
        <f t="shared" si="169"/>
        <v>2025</v>
      </c>
      <c r="G384" s="11">
        <f t="shared" si="192"/>
        <v>22</v>
      </c>
      <c r="H384" s="10">
        <f t="shared" si="192"/>
        <v>66</v>
      </c>
      <c r="I384" s="11"/>
      <c r="J384" s="11"/>
      <c r="K384" s="11"/>
      <c r="L384" s="11"/>
      <c r="M384" s="11"/>
      <c r="N384" s="11"/>
      <c r="O384" s="14"/>
      <c r="P384" s="14"/>
      <c r="Q384" s="14"/>
      <c r="R384" s="14"/>
      <c r="S384" s="14"/>
      <c r="T384" s="14"/>
      <c r="V384" s="22">
        <f t="shared" si="191"/>
        <v>0</v>
      </c>
      <c r="W384" s="22">
        <f t="shared" si="191"/>
        <v>0</v>
      </c>
      <c r="X384" s="22">
        <f t="shared" si="191"/>
        <v>0</v>
      </c>
      <c r="Y384" s="22">
        <f t="shared" si="191"/>
        <v>0</v>
      </c>
      <c r="Z384" s="22">
        <f t="shared" si="191"/>
        <v>0</v>
      </c>
      <c r="AA384" s="22">
        <f t="shared" si="191"/>
        <v>0</v>
      </c>
      <c r="AB384" s="1"/>
      <c r="AC384" s="5">
        <f t="shared" si="173"/>
        <v>0</v>
      </c>
      <c r="AD384" s="5">
        <f t="shared" si="174"/>
        <v>0</v>
      </c>
      <c r="AE384" s="5">
        <f t="shared" si="175"/>
        <v>0</v>
      </c>
      <c r="AF384" s="5">
        <f t="shared" si="176"/>
        <v>0</v>
      </c>
      <c r="AG384" s="5">
        <f t="shared" si="177"/>
        <v>0</v>
      </c>
      <c r="AH384" s="5">
        <f t="shared" si="178"/>
        <v>0</v>
      </c>
      <c r="AI384" s="5">
        <f t="shared" si="179"/>
        <v>0</v>
      </c>
      <c r="AJ384" s="5">
        <f t="shared" si="180"/>
        <v>0</v>
      </c>
      <c r="AK384" s="5">
        <f t="shared" si="181"/>
        <v>0</v>
      </c>
      <c r="AL384" s="5">
        <f t="shared" si="182"/>
        <v>0</v>
      </c>
      <c r="AM384" s="5">
        <f t="shared" si="183"/>
        <v>0</v>
      </c>
      <c r="AN384" s="5">
        <f t="shared" si="184"/>
        <v>0</v>
      </c>
      <c r="AO384" s="5">
        <f t="shared" si="185"/>
        <v>0</v>
      </c>
      <c r="AP384" s="5">
        <f t="shared" si="186"/>
        <v>0</v>
      </c>
      <c r="AQ384" s="5">
        <f t="shared" si="187"/>
        <v>0</v>
      </c>
      <c r="AR384" s="5">
        <f t="shared" si="188"/>
        <v>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CB384" s="47"/>
    </row>
    <row r="385" spans="2:80" ht="15" hidden="1" outlineLevel="1" x14ac:dyDescent="0.2">
      <c r="B385" s="18">
        <f t="shared" si="166"/>
        <v>45768</v>
      </c>
      <c r="C385" s="17" t="s">
        <v>1</v>
      </c>
      <c r="D385" s="19">
        <f t="shared" si="167"/>
        <v>45774</v>
      </c>
      <c r="E385" s="20">
        <f t="shared" si="168"/>
        <v>4</v>
      </c>
      <c r="F385" s="21">
        <f t="shared" si="169"/>
        <v>2025</v>
      </c>
      <c r="G385" s="11">
        <f t="shared" si="192"/>
        <v>22</v>
      </c>
      <c r="H385" s="10">
        <f t="shared" si="192"/>
        <v>66</v>
      </c>
      <c r="I385" s="11"/>
      <c r="J385" s="11"/>
      <c r="K385" s="11"/>
      <c r="L385" s="11"/>
      <c r="M385" s="11"/>
      <c r="N385" s="11"/>
      <c r="O385" s="14"/>
      <c r="P385" s="14"/>
      <c r="Q385" s="14"/>
      <c r="R385" s="14"/>
      <c r="S385" s="14"/>
      <c r="T385" s="14"/>
      <c r="V385" s="22">
        <f t="shared" si="191"/>
        <v>0</v>
      </c>
      <c r="W385" s="22">
        <f t="shared" si="191"/>
        <v>0</v>
      </c>
      <c r="X385" s="22">
        <f t="shared" si="191"/>
        <v>0</v>
      </c>
      <c r="Y385" s="22">
        <f t="shared" si="191"/>
        <v>0</v>
      </c>
      <c r="Z385" s="22">
        <f t="shared" si="191"/>
        <v>0</v>
      </c>
      <c r="AA385" s="22">
        <f t="shared" si="191"/>
        <v>0</v>
      </c>
      <c r="AB385" s="1"/>
      <c r="AC385" s="5">
        <f t="shared" si="173"/>
        <v>0</v>
      </c>
      <c r="AD385" s="5">
        <f t="shared" si="174"/>
        <v>0</v>
      </c>
      <c r="AE385" s="5">
        <f t="shared" si="175"/>
        <v>0</v>
      </c>
      <c r="AF385" s="5">
        <f t="shared" si="176"/>
        <v>0</v>
      </c>
      <c r="AG385" s="5">
        <f t="shared" si="177"/>
        <v>0</v>
      </c>
      <c r="AH385" s="5">
        <f t="shared" si="178"/>
        <v>0</v>
      </c>
      <c r="AI385" s="5">
        <f t="shared" si="179"/>
        <v>0</v>
      </c>
      <c r="AJ385" s="5">
        <f t="shared" si="180"/>
        <v>0</v>
      </c>
      <c r="AK385" s="5">
        <f t="shared" si="181"/>
        <v>0</v>
      </c>
      <c r="AL385" s="5">
        <f t="shared" si="182"/>
        <v>0</v>
      </c>
      <c r="AM385" s="5">
        <f t="shared" si="183"/>
        <v>0</v>
      </c>
      <c r="AN385" s="5">
        <f t="shared" si="184"/>
        <v>0</v>
      </c>
      <c r="AO385" s="5">
        <f t="shared" si="185"/>
        <v>0</v>
      </c>
      <c r="AP385" s="5">
        <f t="shared" si="186"/>
        <v>0</v>
      </c>
      <c r="AQ385" s="5">
        <f t="shared" si="187"/>
        <v>0</v>
      </c>
      <c r="AR385" s="5">
        <f t="shared" si="188"/>
        <v>0</v>
      </c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CB385" s="47"/>
    </row>
    <row r="386" spans="2:80" ht="15" hidden="1" outlineLevel="1" x14ac:dyDescent="0.2">
      <c r="B386" s="18">
        <f t="shared" si="166"/>
        <v>45775</v>
      </c>
      <c r="C386" s="17" t="s">
        <v>1</v>
      </c>
      <c r="D386" s="19">
        <f t="shared" si="167"/>
        <v>45781</v>
      </c>
      <c r="E386" s="20">
        <f t="shared" si="168"/>
        <v>4</v>
      </c>
      <c r="F386" s="21">
        <f t="shared" si="169"/>
        <v>2025</v>
      </c>
      <c r="G386" s="11">
        <f t="shared" si="192"/>
        <v>22</v>
      </c>
      <c r="H386" s="10">
        <f t="shared" si="192"/>
        <v>66</v>
      </c>
      <c r="I386" s="11"/>
      <c r="J386" s="11"/>
      <c r="K386" s="11"/>
      <c r="L386" s="11"/>
      <c r="M386" s="11"/>
      <c r="N386" s="11"/>
      <c r="O386" s="14"/>
      <c r="P386" s="14"/>
      <c r="Q386" s="14"/>
      <c r="R386" s="14"/>
      <c r="S386" s="14"/>
      <c r="T386" s="14"/>
      <c r="V386" s="22">
        <f t="shared" si="191"/>
        <v>0</v>
      </c>
      <c r="W386" s="22">
        <f t="shared" si="191"/>
        <v>0</v>
      </c>
      <c r="X386" s="22">
        <f t="shared" si="191"/>
        <v>0</v>
      </c>
      <c r="Y386" s="22">
        <f t="shared" si="191"/>
        <v>0</v>
      </c>
      <c r="Z386" s="22">
        <f t="shared" si="191"/>
        <v>0</v>
      </c>
      <c r="AA386" s="22">
        <f t="shared" si="191"/>
        <v>0</v>
      </c>
      <c r="AB386" s="1"/>
      <c r="AC386" s="5">
        <f t="shared" si="173"/>
        <v>0</v>
      </c>
      <c r="AD386" s="5">
        <f t="shared" si="174"/>
        <v>0</v>
      </c>
      <c r="AE386" s="5">
        <f t="shared" si="175"/>
        <v>0</v>
      </c>
      <c r="AF386" s="5">
        <f t="shared" si="176"/>
        <v>0</v>
      </c>
      <c r="AG386" s="5">
        <f t="shared" si="177"/>
        <v>0</v>
      </c>
      <c r="AH386" s="5">
        <f t="shared" si="178"/>
        <v>0</v>
      </c>
      <c r="AI386" s="5">
        <f t="shared" si="179"/>
        <v>0</v>
      </c>
      <c r="AJ386" s="5">
        <f t="shared" si="180"/>
        <v>0</v>
      </c>
      <c r="AK386" s="5">
        <f t="shared" si="181"/>
        <v>0</v>
      </c>
      <c r="AL386" s="5">
        <f t="shared" si="182"/>
        <v>0</v>
      </c>
      <c r="AM386" s="5">
        <f t="shared" si="183"/>
        <v>0</v>
      </c>
      <c r="AN386" s="5">
        <f t="shared" si="184"/>
        <v>0</v>
      </c>
      <c r="AO386" s="5">
        <f t="shared" si="185"/>
        <v>0</v>
      </c>
      <c r="AP386" s="5">
        <f t="shared" si="186"/>
        <v>0</v>
      </c>
      <c r="AQ386" s="5">
        <f t="shared" si="187"/>
        <v>0</v>
      </c>
      <c r="AR386" s="5">
        <f t="shared" si="188"/>
        <v>0</v>
      </c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CB386" s="47"/>
    </row>
    <row r="387" spans="2:80" ht="15" hidden="1" outlineLevel="1" x14ac:dyDescent="0.2">
      <c r="B387" s="18">
        <f t="shared" si="166"/>
        <v>45782</v>
      </c>
      <c r="C387" s="17" t="s">
        <v>1</v>
      </c>
      <c r="D387" s="19">
        <f t="shared" si="167"/>
        <v>45788</v>
      </c>
      <c r="E387" s="20">
        <f t="shared" si="168"/>
        <v>5</v>
      </c>
      <c r="F387" s="21">
        <f t="shared" si="169"/>
        <v>2025</v>
      </c>
      <c r="G387" s="11">
        <f t="shared" si="192"/>
        <v>22</v>
      </c>
      <c r="H387" s="10">
        <f t="shared" si="192"/>
        <v>66</v>
      </c>
      <c r="I387" s="11"/>
      <c r="J387" s="11"/>
      <c r="K387" s="11"/>
      <c r="L387" s="11"/>
      <c r="M387" s="11"/>
      <c r="N387" s="11"/>
      <c r="O387" s="14"/>
      <c r="P387" s="14"/>
      <c r="Q387" s="14"/>
      <c r="R387" s="14"/>
      <c r="S387" s="14"/>
      <c r="T387" s="14"/>
      <c r="V387" s="22">
        <f t="shared" si="191"/>
        <v>0</v>
      </c>
      <c r="W387" s="22">
        <f t="shared" si="191"/>
        <v>0</v>
      </c>
      <c r="X387" s="22">
        <f t="shared" si="191"/>
        <v>0</v>
      </c>
      <c r="Y387" s="22">
        <f t="shared" si="191"/>
        <v>0</v>
      </c>
      <c r="Z387" s="22">
        <f t="shared" si="191"/>
        <v>0</v>
      </c>
      <c r="AA387" s="22">
        <f t="shared" si="191"/>
        <v>0</v>
      </c>
      <c r="AB387" s="1"/>
      <c r="AC387" s="5">
        <f t="shared" si="173"/>
        <v>0</v>
      </c>
      <c r="AD387" s="5">
        <f t="shared" si="174"/>
        <v>0</v>
      </c>
      <c r="AE387" s="5">
        <f t="shared" si="175"/>
        <v>0</v>
      </c>
      <c r="AF387" s="5">
        <f t="shared" si="176"/>
        <v>0</v>
      </c>
      <c r="AG387" s="5">
        <f t="shared" si="177"/>
        <v>0</v>
      </c>
      <c r="AH387" s="5">
        <f t="shared" si="178"/>
        <v>0</v>
      </c>
      <c r="AI387" s="5">
        <f t="shared" si="179"/>
        <v>0</v>
      </c>
      <c r="AJ387" s="5">
        <f t="shared" si="180"/>
        <v>0</v>
      </c>
      <c r="AK387" s="5">
        <f t="shared" si="181"/>
        <v>0</v>
      </c>
      <c r="AL387" s="5">
        <f t="shared" si="182"/>
        <v>0</v>
      </c>
      <c r="AM387" s="5">
        <f t="shared" si="183"/>
        <v>0</v>
      </c>
      <c r="AN387" s="5">
        <f t="shared" si="184"/>
        <v>0</v>
      </c>
      <c r="AO387" s="5">
        <f t="shared" si="185"/>
        <v>0</v>
      </c>
      <c r="AP387" s="5">
        <f t="shared" si="186"/>
        <v>0</v>
      </c>
      <c r="AQ387" s="5">
        <f t="shared" si="187"/>
        <v>0</v>
      </c>
      <c r="AR387" s="5">
        <f t="shared" si="188"/>
        <v>0</v>
      </c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CB387" s="47"/>
    </row>
    <row r="388" spans="2:80" ht="15" hidden="1" outlineLevel="1" x14ac:dyDescent="0.2">
      <c r="B388" s="18">
        <f t="shared" si="166"/>
        <v>45789</v>
      </c>
      <c r="C388" s="17" t="s">
        <v>1</v>
      </c>
      <c r="D388" s="19">
        <f t="shared" si="167"/>
        <v>45795</v>
      </c>
      <c r="E388" s="20">
        <f t="shared" si="168"/>
        <v>5</v>
      </c>
      <c r="F388" s="21">
        <f t="shared" si="169"/>
        <v>2025</v>
      </c>
      <c r="G388" s="11">
        <f t="shared" si="192"/>
        <v>22</v>
      </c>
      <c r="H388" s="10">
        <f t="shared" si="192"/>
        <v>66</v>
      </c>
      <c r="I388" s="11"/>
      <c r="J388" s="11"/>
      <c r="K388" s="11"/>
      <c r="L388" s="11"/>
      <c r="M388" s="11"/>
      <c r="N388" s="11"/>
      <c r="O388" s="14"/>
      <c r="P388" s="14"/>
      <c r="Q388" s="14"/>
      <c r="R388" s="14"/>
      <c r="S388" s="14"/>
      <c r="T388" s="14"/>
      <c r="V388" s="22">
        <f t="shared" ref="V388:AA403" si="193">IF(I388&gt;0,I388,IF(O388=1,$B388+2,IF(O387=1,1,IF(O387=2,0,IF(V387=$G387,0,(IF(V387&gt;=1,V387+1,0)))))))</f>
        <v>0</v>
      </c>
      <c r="W388" s="22">
        <f t="shared" si="193"/>
        <v>0</v>
      </c>
      <c r="X388" s="22">
        <f t="shared" si="193"/>
        <v>0</v>
      </c>
      <c r="Y388" s="22">
        <f t="shared" si="193"/>
        <v>0</v>
      </c>
      <c r="Z388" s="22">
        <f t="shared" si="193"/>
        <v>0</v>
      </c>
      <c r="AA388" s="22">
        <f t="shared" si="193"/>
        <v>0</v>
      </c>
      <c r="AB388" s="1"/>
      <c r="AC388" s="5">
        <f t="shared" si="173"/>
        <v>0</v>
      </c>
      <c r="AD388" s="5">
        <f t="shared" si="174"/>
        <v>0</v>
      </c>
      <c r="AE388" s="5">
        <f t="shared" si="175"/>
        <v>0</v>
      </c>
      <c r="AF388" s="5">
        <f t="shared" si="176"/>
        <v>0</v>
      </c>
      <c r="AG388" s="5">
        <f t="shared" si="177"/>
        <v>0</v>
      </c>
      <c r="AH388" s="5">
        <f t="shared" si="178"/>
        <v>0</v>
      </c>
      <c r="AI388" s="5">
        <f t="shared" si="179"/>
        <v>0</v>
      </c>
      <c r="AJ388" s="5">
        <f t="shared" si="180"/>
        <v>0</v>
      </c>
      <c r="AK388" s="5">
        <f t="shared" si="181"/>
        <v>0</v>
      </c>
      <c r="AL388" s="5">
        <f t="shared" si="182"/>
        <v>0</v>
      </c>
      <c r="AM388" s="5">
        <f t="shared" si="183"/>
        <v>0</v>
      </c>
      <c r="AN388" s="5">
        <f t="shared" si="184"/>
        <v>0</v>
      </c>
      <c r="AO388" s="5">
        <f t="shared" si="185"/>
        <v>0</v>
      </c>
      <c r="AP388" s="5">
        <f t="shared" si="186"/>
        <v>0</v>
      </c>
      <c r="AQ388" s="5">
        <f t="shared" si="187"/>
        <v>0</v>
      </c>
      <c r="AR388" s="5">
        <f t="shared" si="188"/>
        <v>0</v>
      </c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CB388" s="47"/>
    </row>
    <row r="389" spans="2:80" ht="15" hidden="1" outlineLevel="1" x14ac:dyDescent="0.2">
      <c r="B389" s="18">
        <f t="shared" ref="B389:B421" si="194">D388+1</f>
        <v>45796</v>
      </c>
      <c r="C389" s="17" t="s">
        <v>1</v>
      </c>
      <c r="D389" s="19">
        <f t="shared" ref="D389:D421" si="195">B389+6</f>
        <v>45802</v>
      </c>
      <c r="E389" s="20">
        <f t="shared" ref="E389:E421" si="196">MONTH(B389)</f>
        <v>5</v>
      </c>
      <c r="F389" s="21">
        <f t="shared" ref="F389:F421" si="197">YEAR(D389)</f>
        <v>2025</v>
      </c>
      <c r="G389" s="11">
        <f t="shared" si="192"/>
        <v>22</v>
      </c>
      <c r="H389" s="10">
        <f t="shared" si="192"/>
        <v>66</v>
      </c>
      <c r="I389" s="11"/>
      <c r="J389" s="11"/>
      <c r="K389" s="11"/>
      <c r="L389" s="11"/>
      <c r="M389" s="11"/>
      <c r="N389" s="11"/>
      <c r="O389" s="14"/>
      <c r="P389" s="14"/>
      <c r="Q389" s="14"/>
      <c r="R389" s="14"/>
      <c r="S389" s="14"/>
      <c r="T389" s="14"/>
      <c r="V389" s="22">
        <f t="shared" si="193"/>
        <v>0</v>
      </c>
      <c r="W389" s="22">
        <f t="shared" si="193"/>
        <v>0</v>
      </c>
      <c r="X389" s="22">
        <f t="shared" si="193"/>
        <v>0</v>
      </c>
      <c r="Y389" s="22">
        <f t="shared" si="193"/>
        <v>0</v>
      </c>
      <c r="Z389" s="22">
        <f t="shared" si="193"/>
        <v>0</v>
      </c>
      <c r="AA389" s="22">
        <f t="shared" si="193"/>
        <v>0</v>
      </c>
      <c r="AB389" s="1"/>
      <c r="AC389" s="5">
        <f t="shared" si="173"/>
        <v>0</v>
      </c>
      <c r="AD389" s="5">
        <f t="shared" si="174"/>
        <v>0</v>
      </c>
      <c r="AE389" s="5">
        <f t="shared" si="175"/>
        <v>0</v>
      </c>
      <c r="AF389" s="5">
        <f t="shared" si="176"/>
        <v>0</v>
      </c>
      <c r="AG389" s="5">
        <f t="shared" si="177"/>
        <v>0</v>
      </c>
      <c r="AH389" s="5">
        <f t="shared" si="178"/>
        <v>0</v>
      </c>
      <c r="AI389" s="5">
        <f t="shared" si="179"/>
        <v>0</v>
      </c>
      <c r="AJ389" s="5">
        <f t="shared" si="180"/>
        <v>0</v>
      </c>
      <c r="AK389" s="5">
        <f t="shared" si="181"/>
        <v>0</v>
      </c>
      <c r="AL389" s="5">
        <f t="shared" si="182"/>
        <v>0</v>
      </c>
      <c r="AM389" s="5">
        <f t="shared" si="183"/>
        <v>0</v>
      </c>
      <c r="AN389" s="5">
        <f t="shared" si="184"/>
        <v>0</v>
      </c>
      <c r="AO389" s="5">
        <f t="shared" si="185"/>
        <v>0</v>
      </c>
      <c r="AP389" s="5">
        <f t="shared" si="186"/>
        <v>0</v>
      </c>
      <c r="AQ389" s="5">
        <f t="shared" si="187"/>
        <v>0</v>
      </c>
      <c r="AR389" s="5">
        <f t="shared" si="188"/>
        <v>0</v>
      </c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CB389" s="47"/>
    </row>
    <row r="390" spans="2:80" ht="15" hidden="1" outlineLevel="1" x14ac:dyDescent="0.2">
      <c r="B390" s="18">
        <f t="shared" si="194"/>
        <v>45803</v>
      </c>
      <c r="C390" s="17" t="s">
        <v>1</v>
      </c>
      <c r="D390" s="19">
        <f t="shared" si="195"/>
        <v>45809</v>
      </c>
      <c r="E390" s="20">
        <f t="shared" si="196"/>
        <v>5</v>
      </c>
      <c r="F390" s="21">
        <f t="shared" si="197"/>
        <v>2025</v>
      </c>
      <c r="G390" s="11">
        <f t="shared" ref="G390:H405" si="198">G389</f>
        <v>22</v>
      </c>
      <c r="H390" s="10">
        <f t="shared" si="198"/>
        <v>66</v>
      </c>
      <c r="I390" s="11"/>
      <c r="J390" s="11"/>
      <c r="K390" s="11"/>
      <c r="L390" s="11"/>
      <c r="M390" s="11"/>
      <c r="N390" s="11"/>
      <c r="O390" s="14"/>
      <c r="P390" s="14"/>
      <c r="Q390" s="14"/>
      <c r="R390" s="14"/>
      <c r="S390" s="14"/>
      <c r="T390" s="14"/>
      <c r="V390" s="22">
        <f t="shared" si="193"/>
        <v>0</v>
      </c>
      <c r="W390" s="22">
        <f t="shared" si="193"/>
        <v>0</v>
      </c>
      <c r="X390" s="22">
        <f t="shared" si="193"/>
        <v>0</v>
      </c>
      <c r="Y390" s="22">
        <f t="shared" si="193"/>
        <v>0</v>
      </c>
      <c r="Z390" s="22">
        <f t="shared" si="193"/>
        <v>0</v>
      </c>
      <c r="AA390" s="22">
        <f t="shared" si="193"/>
        <v>0</v>
      </c>
      <c r="AB390" s="1"/>
      <c r="AC390" s="5">
        <f t="shared" si="173"/>
        <v>0</v>
      </c>
      <c r="AD390" s="5">
        <f t="shared" si="174"/>
        <v>0</v>
      </c>
      <c r="AE390" s="5">
        <f t="shared" si="175"/>
        <v>0</v>
      </c>
      <c r="AF390" s="5">
        <f t="shared" si="176"/>
        <v>0</v>
      </c>
      <c r="AG390" s="5">
        <f t="shared" si="177"/>
        <v>0</v>
      </c>
      <c r="AH390" s="5">
        <f t="shared" si="178"/>
        <v>0</v>
      </c>
      <c r="AI390" s="5">
        <f t="shared" si="179"/>
        <v>0</v>
      </c>
      <c r="AJ390" s="5">
        <f t="shared" si="180"/>
        <v>0</v>
      </c>
      <c r="AK390" s="5">
        <f t="shared" si="181"/>
        <v>0</v>
      </c>
      <c r="AL390" s="5">
        <f t="shared" si="182"/>
        <v>0</v>
      </c>
      <c r="AM390" s="5">
        <f t="shared" si="183"/>
        <v>0</v>
      </c>
      <c r="AN390" s="5">
        <f t="shared" si="184"/>
        <v>0</v>
      </c>
      <c r="AO390" s="5">
        <f t="shared" si="185"/>
        <v>0</v>
      </c>
      <c r="AP390" s="5">
        <f t="shared" si="186"/>
        <v>0</v>
      </c>
      <c r="AQ390" s="5">
        <f t="shared" si="187"/>
        <v>0</v>
      </c>
      <c r="AR390" s="5">
        <f t="shared" si="188"/>
        <v>0</v>
      </c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CB390" s="47"/>
    </row>
    <row r="391" spans="2:80" ht="15" hidden="1" outlineLevel="1" x14ac:dyDescent="0.2">
      <c r="B391" s="18">
        <f t="shared" si="194"/>
        <v>45810</v>
      </c>
      <c r="C391" s="17" t="s">
        <v>1</v>
      </c>
      <c r="D391" s="19">
        <f t="shared" si="195"/>
        <v>45816</v>
      </c>
      <c r="E391" s="20">
        <f t="shared" si="196"/>
        <v>6</v>
      </c>
      <c r="F391" s="21">
        <f t="shared" si="197"/>
        <v>2025</v>
      </c>
      <c r="G391" s="11">
        <f t="shared" si="198"/>
        <v>22</v>
      </c>
      <c r="H391" s="10">
        <f t="shared" si="198"/>
        <v>66</v>
      </c>
      <c r="I391" s="11"/>
      <c r="J391" s="11"/>
      <c r="K391" s="11"/>
      <c r="L391" s="11"/>
      <c r="M391" s="11"/>
      <c r="N391" s="11"/>
      <c r="O391" s="14"/>
      <c r="P391" s="14"/>
      <c r="Q391" s="14"/>
      <c r="R391" s="14"/>
      <c r="S391" s="14"/>
      <c r="T391" s="14"/>
      <c r="V391" s="22">
        <f t="shared" si="193"/>
        <v>0</v>
      </c>
      <c r="W391" s="22">
        <f t="shared" si="193"/>
        <v>0</v>
      </c>
      <c r="X391" s="22">
        <f t="shared" si="193"/>
        <v>0</v>
      </c>
      <c r="Y391" s="22">
        <f t="shared" si="193"/>
        <v>0</v>
      </c>
      <c r="Z391" s="22">
        <f t="shared" si="193"/>
        <v>0</v>
      </c>
      <c r="AA391" s="22">
        <f t="shared" si="193"/>
        <v>0</v>
      </c>
      <c r="AB391" s="1"/>
      <c r="AC391" s="5">
        <f t="shared" si="173"/>
        <v>0</v>
      </c>
      <c r="AD391" s="5">
        <f t="shared" si="174"/>
        <v>0</v>
      </c>
      <c r="AE391" s="5">
        <f t="shared" si="175"/>
        <v>0</v>
      </c>
      <c r="AF391" s="5">
        <f t="shared" si="176"/>
        <v>0</v>
      </c>
      <c r="AG391" s="5">
        <f t="shared" si="177"/>
        <v>0</v>
      </c>
      <c r="AH391" s="5">
        <f t="shared" si="178"/>
        <v>0</v>
      </c>
      <c r="AI391" s="5">
        <f t="shared" si="179"/>
        <v>0</v>
      </c>
      <c r="AJ391" s="5">
        <f t="shared" si="180"/>
        <v>0</v>
      </c>
      <c r="AK391" s="5">
        <f t="shared" si="181"/>
        <v>0</v>
      </c>
      <c r="AL391" s="5">
        <f t="shared" si="182"/>
        <v>0</v>
      </c>
      <c r="AM391" s="5">
        <f t="shared" si="183"/>
        <v>0</v>
      </c>
      <c r="AN391" s="5">
        <f t="shared" si="184"/>
        <v>0</v>
      </c>
      <c r="AO391" s="5">
        <f t="shared" si="185"/>
        <v>0</v>
      </c>
      <c r="AP391" s="5">
        <f t="shared" si="186"/>
        <v>0</v>
      </c>
      <c r="AQ391" s="5">
        <f t="shared" si="187"/>
        <v>0</v>
      </c>
      <c r="AR391" s="5">
        <f t="shared" si="188"/>
        <v>0</v>
      </c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CB391" s="47"/>
    </row>
    <row r="392" spans="2:80" ht="15" hidden="1" outlineLevel="1" x14ac:dyDescent="0.2">
      <c r="B392" s="18">
        <f t="shared" si="194"/>
        <v>45817</v>
      </c>
      <c r="C392" s="17" t="s">
        <v>1</v>
      </c>
      <c r="D392" s="19">
        <f t="shared" si="195"/>
        <v>45823</v>
      </c>
      <c r="E392" s="20">
        <f t="shared" si="196"/>
        <v>6</v>
      </c>
      <c r="F392" s="21">
        <f t="shared" si="197"/>
        <v>2025</v>
      </c>
      <c r="G392" s="11">
        <f t="shared" si="198"/>
        <v>22</v>
      </c>
      <c r="H392" s="10">
        <f t="shared" si="198"/>
        <v>66</v>
      </c>
      <c r="I392" s="11"/>
      <c r="J392" s="11"/>
      <c r="K392" s="11"/>
      <c r="L392" s="11"/>
      <c r="M392" s="11"/>
      <c r="N392" s="11"/>
      <c r="O392" s="14"/>
      <c r="P392" s="14"/>
      <c r="Q392" s="14"/>
      <c r="R392" s="14"/>
      <c r="S392" s="14"/>
      <c r="T392" s="14"/>
      <c r="V392" s="22">
        <f t="shared" si="193"/>
        <v>0</v>
      </c>
      <c r="W392" s="22">
        <f t="shared" si="193"/>
        <v>0</v>
      </c>
      <c r="X392" s="22">
        <f t="shared" si="193"/>
        <v>0</v>
      </c>
      <c r="Y392" s="22">
        <f t="shared" si="193"/>
        <v>0</v>
      </c>
      <c r="Z392" s="22">
        <f t="shared" si="193"/>
        <v>0</v>
      </c>
      <c r="AA392" s="22">
        <f t="shared" si="193"/>
        <v>0</v>
      </c>
      <c r="AB392" s="1"/>
      <c r="AC392" s="5">
        <f t="shared" si="173"/>
        <v>0</v>
      </c>
      <c r="AD392" s="5">
        <f t="shared" si="174"/>
        <v>0</v>
      </c>
      <c r="AE392" s="5">
        <f t="shared" si="175"/>
        <v>0</v>
      </c>
      <c r="AF392" s="5">
        <f t="shared" si="176"/>
        <v>0</v>
      </c>
      <c r="AG392" s="5">
        <f t="shared" si="177"/>
        <v>0</v>
      </c>
      <c r="AH392" s="5">
        <f t="shared" si="178"/>
        <v>0</v>
      </c>
      <c r="AI392" s="5">
        <f t="shared" si="179"/>
        <v>0</v>
      </c>
      <c r="AJ392" s="5">
        <f t="shared" si="180"/>
        <v>0</v>
      </c>
      <c r="AK392" s="5">
        <f t="shared" si="181"/>
        <v>0</v>
      </c>
      <c r="AL392" s="5">
        <f t="shared" si="182"/>
        <v>0</v>
      </c>
      <c r="AM392" s="5">
        <f t="shared" si="183"/>
        <v>0</v>
      </c>
      <c r="AN392" s="5">
        <f t="shared" si="184"/>
        <v>0</v>
      </c>
      <c r="AO392" s="5">
        <f t="shared" si="185"/>
        <v>0</v>
      </c>
      <c r="AP392" s="5">
        <f t="shared" si="186"/>
        <v>0</v>
      </c>
      <c r="AQ392" s="5">
        <f t="shared" si="187"/>
        <v>0</v>
      </c>
      <c r="AR392" s="5">
        <f t="shared" si="188"/>
        <v>0</v>
      </c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CB392" s="47"/>
    </row>
    <row r="393" spans="2:80" ht="15" hidden="1" outlineLevel="1" x14ac:dyDescent="0.2">
      <c r="B393" s="18">
        <f t="shared" si="194"/>
        <v>45824</v>
      </c>
      <c r="C393" s="17" t="s">
        <v>1</v>
      </c>
      <c r="D393" s="19">
        <f t="shared" si="195"/>
        <v>45830</v>
      </c>
      <c r="E393" s="20">
        <f t="shared" si="196"/>
        <v>6</v>
      </c>
      <c r="F393" s="21">
        <f t="shared" si="197"/>
        <v>2025</v>
      </c>
      <c r="G393" s="11">
        <f t="shared" si="198"/>
        <v>22</v>
      </c>
      <c r="H393" s="10">
        <f t="shared" si="198"/>
        <v>66</v>
      </c>
      <c r="I393" s="11"/>
      <c r="J393" s="11"/>
      <c r="K393" s="11"/>
      <c r="L393" s="11"/>
      <c r="M393" s="11"/>
      <c r="N393" s="11"/>
      <c r="O393" s="14"/>
      <c r="P393" s="14"/>
      <c r="Q393" s="14"/>
      <c r="R393" s="14"/>
      <c r="S393" s="14"/>
      <c r="T393" s="14"/>
      <c r="V393" s="22">
        <f t="shared" si="193"/>
        <v>0</v>
      </c>
      <c r="W393" s="22">
        <f t="shared" si="193"/>
        <v>0</v>
      </c>
      <c r="X393" s="22">
        <f t="shared" si="193"/>
        <v>0</v>
      </c>
      <c r="Y393" s="22">
        <f t="shared" si="193"/>
        <v>0</v>
      </c>
      <c r="Z393" s="22">
        <f t="shared" si="193"/>
        <v>0</v>
      </c>
      <c r="AA393" s="22">
        <f t="shared" si="193"/>
        <v>0</v>
      </c>
      <c r="AB393" s="1"/>
      <c r="AC393" s="5">
        <f t="shared" si="173"/>
        <v>0</v>
      </c>
      <c r="AD393" s="5">
        <f t="shared" si="174"/>
        <v>0</v>
      </c>
      <c r="AE393" s="5">
        <f t="shared" si="175"/>
        <v>0</v>
      </c>
      <c r="AF393" s="5">
        <f t="shared" si="176"/>
        <v>0</v>
      </c>
      <c r="AG393" s="5">
        <f t="shared" si="177"/>
        <v>0</v>
      </c>
      <c r="AH393" s="5">
        <f t="shared" si="178"/>
        <v>0</v>
      </c>
      <c r="AI393" s="5">
        <f t="shared" si="179"/>
        <v>0</v>
      </c>
      <c r="AJ393" s="5">
        <f t="shared" si="180"/>
        <v>0</v>
      </c>
      <c r="AK393" s="5">
        <f t="shared" si="181"/>
        <v>0</v>
      </c>
      <c r="AL393" s="5">
        <f t="shared" si="182"/>
        <v>0</v>
      </c>
      <c r="AM393" s="5">
        <f t="shared" si="183"/>
        <v>0</v>
      </c>
      <c r="AN393" s="5">
        <f t="shared" si="184"/>
        <v>0</v>
      </c>
      <c r="AO393" s="5">
        <f t="shared" si="185"/>
        <v>0</v>
      </c>
      <c r="AP393" s="5">
        <f t="shared" si="186"/>
        <v>0</v>
      </c>
      <c r="AQ393" s="5">
        <f t="shared" si="187"/>
        <v>0</v>
      </c>
      <c r="AR393" s="5">
        <f t="shared" si="188"/>
        <v>0</v>
      </c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CB393" s="47"/>
    </row>
    <row r="394" spans="2:80" ht="15" hidden="1" outlineLevel="1" x14ac:dyDescent="0.2">
      <c r="B394" s="18">
        <f t="shared" si="194"/>
        <v>45831</v>
      </c>
      <c r="C394" s="17" t="s">
        <v>1</v>
      </c>
      <c r="D394" s="19">
        <f t="shared" si="195"/>
        <v>45837</v>
      </c>
      <c r="E394" s="20">
        <f t="shared" si="196"/>
        <v>6</v>
      </c>
      <c r="F394" s="21">
        <f t="shared" si="197"/>
        <v>2025</v>
      </c>
      <c r="G394" s="11">
        <f t="shared" si="198"/>
        <v>22</v>
      </c>
      <c r="H394" s="10">
        <f t="shared" si="198"/>
        <v>66</v>
      </c>
      <c r="I394" s="11"/>
      <c r="J394" s="11"/>
      <c r="K394" s="11"/>
      <c r="L394" s="11"/>
      <c r="M394" s="11"/>
      <c r="N394" s="11"/>
      <c r="O394" s="14"/>
      <c r="P394" s="14"/>
      <c r="Q394" s="14"/>
      <c r="R394" s="14"/>
      <c r="S394" s="14"/>
      <c r="T394" s="14"/>
      <c r="V394" s="22">
        <f t="shared" si="193"/>
        <v>0</v>
      </c>
      <c r="W394" s="22">
        <f t="shared" si="193"/>
        <v>0</v>
      </c>
      <c r="X394" s="22">
        <f t="shared" si="193"/>
        <v>0</v>
      </c>
      <c r="Y394" s="22">
        <f t="shared" si="193"/>
        <v>0</v>
      </c>
      <c r="Z394" s="22">
        <f t="shared" si="193"/>
        <v>0</v>
      </c>
      <c r="AA394" s="22">
        <f t="shared" si="193"/>
        <v>0</v>
      </c>
      <c r="AB394" s="1"/>
      <c r="AC394" s="5">
        <f t="shared" si="173"/>
        <v>0</v>
      </c>
      <c r="AD394" s="5">
        <f t="shared" si="174"/>
        <v>0</v>
      </c>
      <c r="AE394" s="5">
        <f t="shared" si="175"/>
        <v>0</v>
      </c>
      <c r="AF394" s="5">
        <f t="shared" si="176"/>
        <v>0</v>
      </c>
      <c r="AG394" s="5">
        <f t="shared" si="177"/>
        <v>0</v>
      </c>
      <c r="AH394" s="5">
        <f t="shared" si="178"/>
        <v>0</v>
      </c>
      <c r="AI394" s="5">
        <f t="shared" si="179"/>
        <v>0</v>
      </c>
      <c r="AJ394" s="5">
        <f t="shared" si="180"/>
        <v>0</v>
      </c>
      <c r="AK394" s="5">
        <f t="shared" si="181"/>
        <v>0</v>
      </c>
      <c r="AL394" s="5">
        <f t="shared" si="182"/>
        <v>0</v>
      </c>
      <c r="AM394" s="5">
        <f t="shared" si="183"/>
        <v>0</v>
      </c>
      <c r="AN394" s="5">
        <f t="shared" si="184"/>
        <v>0</v>
      </c>
      <c r="AO394" s="5">
        <f t="shared" si="185"/>
        <v>0</v>
      </c>
      <c r="AP394" s="5">
        <f t="shared" si="186"/>
        <v>0</v>
      </c>
      <c r="AQ394" s="5">
        <f t="shared" si="187"/>
        <v>0</v>
      </c>
      <c r="AR394" s="5">
        <f t="shared" si="188"/>
        <v>0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CB394" s="47"/>
    </row>
    <row r="395" spans="2:80" ht="15" hidden="1" outlineLevel="1" x14ac:dyDescent="0.2">
      <c r="B395" s="18">
        <f t="shared" si="194"/>
        <v>45838</v>
      </c>
      <c r="C395" s="17" t="s">
        <v>1</v>
      </c>
      <c r="D395" s="19">
        <f t="shared" si="195"/>
        <v>45844</v>
      </c>
      <c r="E395" s="20">
        <f t="shared" si="196"/>
        <v>6</v>
      </c>
      <c r="F395" s="21">
        <f t="shared" si="197"/>
        <v>2025</v>
      </c>
      <c r="G395" s="11">
        <f t="shared" si="198"/>
        <v>22</v>
      </c>
      <c r="H395" s="10">
        <f t="shared" si="198"/>
        <v>66</v>
      </c>
      <c r="I395" s="11"/>
      <c r="J395" s="11"/>
      <c r="K395" s="11"/>
      <c r="L395" s="11"/>
      <c r="M395" s="11"/>
      <c r="N395" s="11"/>
      <c r="O395" s="14"/>
      <c r="P395" s="14"/>
      <c r="Q395" s="14"/>
      <c r="R395" s="14"/>
      <c r="S395" s="14"/>
      <c r="T395" s="14"/>
      <c r="V395" s="22">
        <f t="shared" si="193"/>
        <v>0</v>
      </c>
      <c r="W395" s="22">
        <f t="shared" si="193"/>
        <v>0</v>
      </c>
      <c r="X395" s="22">
        <f t="shared" si="193"/>
        <v>0</v>
      </c>
      <c r="Y395" s="22">
        <f t="shared" si="193"/>
        <v>0</v>
      </c>
      <c r="Z395" s="22">
        <f t="shared" si="193"/>
        <v>0</v>
      </c>
      <c r="AA395" s="22">
        <f t="shared" si="193"/>
        <v>0</v>
      </c>
      <c r="AB395" s="1"/>
      <c r="AC395" s="5">
        <f t="shared" si="173"/>
        <v>0</v>
      </c>
      <c r="AD395" s="5">
        <f t="shared" si="174"/>
        <v>0</v>
      </c>
      <c r="AE395" s="5">
        <f t="shared" si="175"/>
        <v>0</v>
      </c>
      <c r="AF395" s="5">
        <f t="shared" si="176"/>
        <v>0</v>
      </c>
      <c r="AG395" s="5">
        <f t="shared" si="177"/>
        <v>0</v>
      </c>
      <c r="AH395" s="5">
        <f t="shared" si="178"/>
        <v>0</v>
      </c>
      <c r="AI395" s="5">
        <f t="shared" si="179"/>
        <v>0</v>
      </c>
      <c r="AJ395" s="5">
        <f t="shared" si="180"/>
        <v>0</v>
      </c>
      <c r="AK395" s="5">
        <f t="shared" si="181"/>
        <v>0</v>
      </c>
      <c r="AL395" s="5">
        <f t="shared" si="182"/>
        <v>0</v>
      </c>
      <c r="AM395" s="5">
        <f t="shared" si="183"/>
        <v>0</v>
      </c>
      <c r="AN395" s="5">
        <f t="shared" si="184"/>
        <v>0</v>
      </c>
      <c r="AO395" s="5">
        <f t="shared" si="185"/>
        <v>0</v>
      </c>
      <c r="AP395" s="5">
        <f t="shared" si="186"/>
        <v>0</v>
      </c>
      <c r="AQ395" s="5">
        <f t="shared" si="187"/>
        <v>0</v>
      </c>
      <c r="AR395" s="5">
        <f t="shared" si="188"/>
        <v>0</v>
      </c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CB395" s="47"/>
    </row>
    <row r="396" spans="2:80" ht="15" hidden="1" outlineLevel="1" x14ac:dyDescent="0.2">
      <c r="B396" s="18">
        <f t="shared" si="194"/>
        <v>45845</v>
      </c>
      <c r="C396" s="17" t="s">
        <v>1</v>
      </c>
      <c r="D396" s="19">
        <f t="shared" si="195"/>
        <v>45851</v>
      </c>
      <c r="E396" s="20">
        <f t="shared" si="196"/>
        <v>7</v>
      </c>
      <c r="F396" s="21">
        <f t="shared" si="197"/>
        <v>2025</v>
      </c>
      <c r="G396" s="11">
        <f t="shared" si="198"/>
        <v>22</v>
      </c>
      <c r="H396" s="10">
        <f t="shared" si="198"/>
        <v>66</v>
      </c>
      <c r="I396" s="11"/>
      <c r="J396" s="11"/>
      <c r="K396" s="11"/>
      <c r="L396" s="11"/>
      <c r="M396" s="11"/>
      <c r="N396" s="11"/>
      <c r="O396" s="14"/>
      <c r="P396" s="14"/>
      <c r="Q396" s="14"/>
      <c r="R396" s="14"/>
      <c r="S396" s="14"/>
      <c r="T396" s="14"/>
      <c r="V396" s="22">
        <f t="shared" si="193"/>
        <v>0</v>
      </c>
      <c r="W396" s="22">
        <f t="shared" si="193"/>
        <v>0</v>
      </c>
      <c r="X396" s="22">
        <f t="shared" si="193"/>
        <v>0</v>
      </c>
      <c r="Y396" s="22">
        <f t="shared" si="193"/>
        <v>0</v>
      </c>
      <c r="Z396" s="22">
        <f t="shared" si="193"/>
        <v>0</v>
      </c>
      <c r="AA396" s="22">
        <f t="shared" si="193"/>
        <v>0</v>
      </c>
      <c r="AB396" s="1"/>
      <c r="AC396" s="5">
        <f t="shared" si="173"/>
        <v>0</v>
      </c>
      <c r="AD396" s="5">
        <f t="shared" si="174"/>
        <v>0</v>
      </c>
      <c r="AE396" s="5">
        <f t="shared" si="175"/>
        <v>0</v>
      </c>
      <c r="AF396" s="5">
        <f t="shared" si="176"/>
        <v>0</v>
      </c>
      <c r="AG396" s="5">
        <f t="shared" si="177"/>
        <v>0</v>
      </c>
      <c r="AH396" s="5">
        <f t="shared" si="178"/>
        <v>0</v>
      </c>
      <c r="AI396" s="5">
        <f t="shared" si="179"/>
        <v>0</v>
      </c>
      <c r="AJ396" s="5">
        <f t="shared" si="180"/>
        <v>0</v>
      </c>
      <c r="AK396" s="5">
        <f t="shared" si="181"/>
        <v>0</v>
      </c>
      <c r="AL396" s="5">
        <f t="shared" si="182"/>
        <v>0</v>
      </c>
      <c r="AM396" s="5">
        <f t="shared" si="183"/>
        <v>0</v>
      </c>
      <c r="AN396" s="5">
        <f t="shared" si="184"/>
        <v>0</v>
      </c>
      <c r="AO396" s="5">
        <f t="shared" si="185"/>
        <v>0</v>
      </c>
      <c r="AP396" s="5">
        <f t="shared" si="186"/>
        <v>0</v>
      </c>
      <c r="AQ396" s="5">
        <f t="shared" si="187"/>
        <v>0</v>
      </c>
      <c r="AR396" s="5">
        <f t="shared" si="188"/>
        <v>0</v>
      </c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CB396" s="47"/>
    </row>
    <row r="397" spans="2:80" ht="15" hidden="1" outlineLevel="1" x14ac:dyDescent="0.2">
      <c r="B397" s="18">
        <f t="shared" si="194"/>
        <v>45852</v>
      </c>
      <c r="C397" s="17" t="s">
        <v>1</v>
      </c>
      <c r="D397" s="19">
        <f t="shared" si="195"/>
        <v>45858</v>
      </c>
      <c r="E397" s="20">
        <f t="shared" si="196"/>
        <v>7</v>
      </c>
      <c r="F397" s="21">
        <f t="shared" si="197"/>
        <v>2025</v>
      </c>
      <c r="G397" s="11">
        <f t="shared" si="198"/>
        <v>22</v>
      </c>
      <c r="H397" s="10">
        <f t="shared" si="198"/>
        <v>66</v>
      </c>
      <c r="I397" s="11"/>
      <c r="J397" s="11"/>
      <c r="K397" s="11"/>
      <c r="L397" s="11"/>
      <c r="M397" s="11"/>
      <c r="N397" s="11"/>
      <c r="O397" s="14"/>
      <c r="P397" s="14"/>
      <c r="Q397" s="14"/>
      <c r="R397" s="14"/>
      <c r="S397" s="14"/>
      <c r="T397" s="14"/>
      <c r="V397" s="22">
        <f t="shared" si="193"/>
        <v>0</v>
      </c>
      <c r="W397" s="22">
        <f t="shared" si="193"/>
        <v>0</v>
      </c>
      <c r="X397" s="22">
        <f t="shared" si="193"/>
        <v>0</v>
      </c>
      <c r="Y397" s="22">
        <f t="shared" si="193"/>
        <v>0</v>
      </c>
      <c r="Z397" s="22">
        <f t="shared" si="193"/>
        <v>0</v>
      </c>
      <c r="AA397" s="22">
        <f t="shared" si="193"/>
        <v>0</v>
      </c>
      <c r="AB397" s="1"/>
      <c r="AC397" s="5">
        <f t="shared" si="173"/>
        <v>0</v>
      </c>
      <c r="AD397" s="5">
        <f t="shared" si="174"/>
        <v>0</v>
      </c>
      <c r="AE397" s="5">
        <f t="shared" si="175"/>
        <v>0</v>
      </c>
      <c r="AF397" s="5">
        <f t="shared" si="176"/>
        <v>0</v>
      </c>
      <c r="AG397" s="5">
        <f t="shared" si="177"/>
        <v>0</v>
      </c>
      <c r="AH397" s="5">
        <f t="shared" si="178"/>
        <v>0</v>
      </c>
      <c r="AI397" s="5">
        <f t="shared" si="179"/>
        <v>0</v>
      </c>
      <c r="AJ397" s="5">
        <f t="shared" si="180"/>
        <v>0</v>
      </c>
      <c r="AK397" s="5">
        <f t="shared" si="181"/>
        <v>0</v>
      </c>
      <c r="AL397" s="5">
        <f t="shared" si="182"/>
        <v>0</v>
      </c>
      <c r="AM397" s="5">
        <f t="shared" si="183"/>
        <v>0</v>
      </c>
      <c r="AN397" s="5">
        <f t="shared" si="184"/>
        <v>0</v>
      </c>
      <c r="AO397" s="5">
        <f t="shared" si="185"/>
        <v>0</v>
      </c>
      <c r="AP397" s="5">
        <f t="shared" si="186"/>
        <v>0</v>
      </c>
      <c r="AQ397" s="5">
        <f t="shared" si="187"/>
        <v>0</v>
      </c>
      <c r="AR397" s="5">
        <f t="shared" si="188"/>
        <v>0</v>
      </c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CB397" s="47"/>
    </row>
    <row r="398" spans="2:80" ht="15" hidden="1" outlineLevel="1" x14ac:dyDescent="0.2">
      <c r="B398" s="18">
        <f t="shared" si="194"/>
        <v>45859</v>
      </c>
      <c r="C398" s="17" t="s">
        <v>1</v>
      </c>
      <c r="D398" s="19">
        <f t="shared" si="195"/>
        <v>45865</v>
      </c>
      <c r="E398" s="20">
        <f t="shared" si="196"/>
        <v>7</v>
      </c>
      <c r="F398" s="21">
        <f t="shared" si="197"/>
        <v>2025</v>
      </c>
      <c r="G398" s="11">
        <f t="shared" si="198"/>
        <v>22</v>
      </c>
      <c r="H398" s="10">
        <f t="shared" si="198"/>
        <v>66</v>
      </c>
      <c r="I398" s="11"/>
      <c r="J398" s="11"/>
      <c r="K398" s="11"/>
      <c r="L398" s="11"/>
      <c r="M398" s="11"/>
      <c r="N398" s="11"/>
      <c r="O398" s="14"/>
      <c r="P398" s="14"/>
      <c r="Q398" s="14"/>
      <c r="R398" s="14"/>
      <c r="S398" s="14"/>
      <c r="T398" s="14"/>
      <c r="V398" s="22">
        <f t="shared" si="193"/>
        <v>0</v>
      </c>
      <c r="W398" s="22">
        <f t="shared" si="193"/>
        <v>0</v>
      </c>
      <c r="X398" s="22">
        <f t="shared" si="193"/>
        <v>0</v>
      </c>
      <c r="Y398" s="22">
        <f t="shared" si="193"/>
        <v>0</v>
      </c>
      <c r="Z398" s="22">
        <f t="shared" si="193"/>
        <v>0</v>
      </c>
      <c r="AA398" s="22">
        <f t="shared" si="193"/>
        <v>0</v>
      </c>
      <c r="AB398" s="1"/>
      <c r="AC398" s="5">
        <f t="shared" si="173"/>
        <v>0</v>
      </c>
      <c r="AD398" s="5">
        <f t="shared" si="174"/>
        <v>0</v>
      </c>
      <c r="AE398" s="5">
        <f t="shared" si="175"/>
        <v>0</v>
      </c>
      <c r="AF398" s="5">
        <f t="shared" si="176"/>
        <v>0</v>
      </c>
      <c r="AG398" s="5">
        <f t="shared" si="177"/>
        <v>0</v>
      </c>
      <c r="AH398" s="5">
        <f t="shared" si="178"/>
        <v>0</v>
      </c>
      <c r="AI398" s="5">
        <f t="shared" si="179"/>
        <v>0</v>
      </c>
      <c r="AJ398" s="5">
        <f t="shared" si="180"/>
        <v>0</v>
      </c>
      <c r="AK398" s="5">
        <f t="shared" si="181"/>
        <v>0</v>
      </c>
      <c r="AL398" s="5">
        <f t="shared" si="182"/>
        <v>0</v>
      </c>
      <c r="AM398" s="5">
        <f t="shared" si="183"/>
        <v>0</v>
      </c>
      <c r="AN398" s="5">
        <f t="shared" si="184"/>
        <v>0</v>
      </c>
      <c r="AO398" s="5">
        <f t="shared" si="185"/>
        <v>0</v>
      </c>
      <c r="AP398" s="5">
        <f t="shared" si="186"/>
        <v>0</v>
      </c>
      <c r="AQ398" s="5">
        <f t="shared" si="187"/>
        <v>0</v>
      </c>
      <c r="AR398" s="5">
        <f t="shared" si="188"/>
        <v>0</v>
      </c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CB398" s="47"/>
    </row>
    <row r="399" spans="2:80" ht="15" hidden="1" outlineLevel="1" x14ac:dyDescent="0.2">
      <c r="B399" s="18">
        <f t="shared" si="194"/>
        <v>45866</v>
      </c>
      <c r="C399" s="17" t="s">
        <v>1</v>
      </c>
      <c r="D399" s="19">
        <f t="shared" si="195"/>
        <v>45872</v>
      </c>
      <c r="E399" s="20">
        <f t="shared" si="196"/>
        <v>7</v>
      </c>
      <c r="F399" s="21">
        <f t="shared" si="197"/>
        <v>2025</v>
      </c>
      <c r="G399" s="11">
        <f t="shared" si="198"/>
        <v>22</v>
      </c>
      <c r="H399" s="10">
        <f t="shared" si="198"/>
        <v>66</v>
      </c>
      <c r="I399" s="11"/>
      <c r="J399" s="11"/>
      <c r="K399" s="11"/>
      <c r="L399" s="11"/>
      <c r="M399" s="11"/>
      <c r="N399" s="11"/>
      <c r="O399" s="14"/>
      <c r="P399" s="14"/>
      <c r="Q399" s="14"/>
      <c r="R399" s="14"/>
      <c r="S399" s="14"/>
      <c r="T399" s="14"/>
      <c r="V399" s="22">
        <f t="shared" si="193"/>
        <v>0</v>
      </c>
      <c r="W399" s="22">
        <f t="shared" si="193"/>
        <v>0</v>
      </c>
      <c r="X399" s="22">
        <f t="shared" si="193"/>
        <v>0</v>
      </c>
      <c r="Y399" s="22">
        <f t="shared" si="193"/>
        <v>0</v>
      </c>
      <c r="Z399" s="22">
        <f t="shared" si="193"/>
        <v>0</v>
      </c>
      <c r="AA399" s="22">
        <f t="shared" si="193"/>
        <v>0</v>
      </c>
      <c r="AB399" s="1"/>
      <c r="AC399" s="5">
        <f t="shared" si="173"/>
        <v>0</v>
      </c>
      <c r="AD399" s="5">
        <f t="shared" si="174"/>
        <v>0</v>
      </c>
      <c r="AE399" s="5">
        <f t="shared" si="175"/>
        <v>0</v>
      </c>
      <c r="AF399" s="5">
        <f t="shared" si="176"/>
        <v>0</v>
      </c>
      <c r="AG399" s="5">
        <f t="shared" si="177"/>
        <v>0</v>
      </c>
      <c r="AH399" s="5">
        <f t="shared" si="178"/>
        <v>0</v>
      </c>
      <c r="AI399" s="5">
        <f t="shared" si="179"/>
        <v>0</v>
      </c>
      <c r="AJ399" s="5">
        <f t="shared" si="180"/>
        <v>0</v>
      </c>
      <c r="AK399" s="5">
        <f t="shared" si="181"/>
        <v>0</v>
      </c>
      <c r="AL399" s="5">
        <f t="shared" si="182"/>
        <v>0</v>
      </c>
      <c r="AM399" s="5">
        <f t="shared" si="183"/>
        <v>0</v>
      </c>
      <c r="AN399" s="5">
        <f t="shared" si="184"/>
        <v>0</v>
      </c>
      <c r="AO399" s="5">
        <f t="shared" si="185"/>
        <v>0</v>
      </c>
      <c r="AP399" s="5">
        <f t="shared" si="186"/>
        <v>0</v>
      </c>
      <c r="AQ399" s="5">
        <f t="shared" si="187"/>
        <v>0</v>
      </c>
      <c r="AR399" s="5">
        <f t="shared" si="188"/>
        <v>0</v>
      </c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CB399" s="47"/>
    </row>
    <row r="400" spans="2:80" ht="15" hidden="1" outlineLevel="1" x14ac:dyDescent="0.2">
      <c r="B400" s="18">
        <f t="shared" si="194"/>
        <v>45873</v>
      </c>
      <c r="C400" s="17" t="s">
        <v>1</v>
      </c>
      <c r="D400" s="19">
        <f t="shared" si="195"/>
        <v>45879</v>
      </c>
      <c r="E400" s="20">
        <f t="shared" si="196"/>
        <v>8</v>
      </c>
      <c r="F400" s="21">
        <f t="shared" si="197"/>
        <v>2025</v>
      </c>
      <c r="G400" s="11">
        <f t="shared" si="198"/>
        <v>22</v>
      </c>
      <c r="H400" s="10">
        <f t="shared" si="198"/>
        <v>66</v>
      </c>
      <c r="I400" s="11"/>
      <c r="J400" s="11"/>
      <c r="K400" s="11"/>
      <c r="L400" s="11"/>
      <c r="M400" s="11"/>
      <c r="N400" s="11"/>
      <c r="O400" s="14"/>
      <c r="P400" s="14"/>
      <c r="Q400" s="14"/>
      <c r="R400" s="14"/>
      <c r="S400" s="14"/>
      <c r="T400" s="14"/>
      <c r="V400" s="22">
        <f t="shared" si="193"/>
        <v>0</v>
      </c>
      <c r="W400" s="22">
        <f t="shared" si="193"/>
        <v>0</v>
      </c>
      <c r="X400" s="22">
        <f t="shared" si="193"/>
        <v>0</v>
      </c>
      <c r="Y400" s="22">
        <f t="shared" si="193"/>
        <v>0</v>
      </c>
      <c r="Z400" s="22">
        <f t="shared" si="193"/>
        <v>0</v>
      </c>
      <c r="AA400" s="22">
        <f t="shared" si="193"/>
        <v>0</v>
      </c>
      <c r="AB400" s="1"/>
      <c r="AC400" s="5">
        <f t="shared" si="173"/>
        <v>0</v>
      </c>
      <c r="AD400" s="5">
        <f t="shared" si="174"/>
        <v>0</v>
      </c>
      <c r="AE400" s="5">
        <f t="shared" si="175"/>
        <v>0</v>
      </c>
      <c r="AF400" s="5">
        <f t="shared" si="176"/>
        <v>0</v>
      </c>
      <c r="AG400" s="5">
        <f t="shared" si="177"/>
        <v>0</v>
      </c>
      <c r="AH400" s="5">
        <f t="shared" si="178"/>
        <v>0</v>
      </c>
      <c r="AI400" s="5">
        <f t="shared" si="179"/>
        <v>0</v>
      </c>
      <c r="AJ400" s="5">
        <f t="shared" si="180"/>
        <v>0</v>
      </c>
      <c r="AK400" s="5">
        <f t="shared" si="181"/>
        <v>0</v>
      </c>
      <c r="AL400" s="5">
        <f t="shared" si="182"/>
        <v>0</v>
      </c>
      <c r="AM400" s="5">
        <f t="shared" si="183"/>
        <v>0</v>
      </c>
      <c r="AN400" s="5">
        <f t="shared" si="184"/>
        <v>0</v>
      </c>
      <c r="AO400" s="5">
        <f t="shared" si="185"/>
        <v>0</v>
      </c>
      <c r="AP400" s="5">
        <f t="shared" si="186"/>
        <v>0</v>
      </c>
      <c r="AQ400" s="5">
        <f t="shared" si="187"/>
        <v>0</v>
      </c>
      <c r="AR400" s="5">
        <f t="shared" si="188"/>
        <v>0</v>
      </c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CB400" s="47"/>
    </row>
    <row r="401" spans="2:80" ht="15" hidden="1" outlineLevel="1" x14ac:dyDescent="0.2">
      <c r="B401" s="18">
        <f t="shared" si="194"/>
        <v>45880</v>
      </c>
      <c r="C401" s="17" t="s">
        <v>1</v>
      </c>
      <c r="D401" s="19">
        <f t="shared" si="195"/>
        <v>45886</v>
      </c>
      <c r="E401" s="20">
        <f t="shared" si="196"/>
        <v>8</v>
      </c>
      <c r="F401" s="21">
        <f t="shared" si="197"/>
        <v>2025</v>
      </c>
      <c r="G401" s="11">
        <f t="shared" si="198"/>
        <v>22</v>
      </c>
      <c r="H401" s="10">
        <f t="shared" si="198"/>
        <v>66</v>
      </c>
      <c r="I401" s="11"/>
      <c r="J401" s="11"/>
      <c r="K401" s="11"/>
      <c r="L401" s="11"/>
      <c r="M401" s="11"/>
      <c r="N401" s="11"/>
      <c r="O401" s="14"/>
      <c r="P401" s="14"/>
      <c r="Q401" s="14"/>
      <c r="R401" s="14"/>
      <c r="S401" s="14"/>
      <c r="T401" s="14"/>
      <c r="V401" s="22">
        <f t="shared" si="193"/>
        <v>0</v>
      </c>
      <c r="W401" s="22">
        <f t="shared" si="193"/>
        <v>0</v>
      </c>
      <c r="X401" s="22">
        <f t="shared" si="193"/>
        <v>0</v>
      </c>
      <c r="Y401" s="22">
        <f t="shared" si="193"/>
        <v>0</v>
      </c>
      <c r="Z401" s="22">
        <f t="shared" si="193"/>
        <v>0</v>
      </c>
      <c r="AA401" s="22">
        <f t="shared" si="193"/>
        <v>0</v>
      </c>
      <c r="AB401" s="1"/>
      <c r="AC401" s="5">
        <f t="shared" si="173"/>
        <v>0</v>
      </c>
      <c r="AD401" s="5">
        <f t="shared" si="174"/>
        <v>0</v>
      </c>
      <c r="AE401" s="5">
        <f t="shared" si="175"/>
        <v>0</v>
      </c>
      <c r="AF401" s="5">
        <f t="shared" si="176"/>
        <v>0</v>
      </c>
      <c r="AG401" s="5">
        <f t="shared" si="177"/>
        <v>0</v>
      </c>
      <c r="AH401" s="5">
        <f t="shared" si="178"/>
        <v>0</v>
      </c>
      <c r="AI401" s="5">
        <f t="shared" si="179"/>
        <v>0</v>
      </c>
      <c r="AJ401" s="5">
        <f t="shared" si="180"/>
        <v>0</v>
      </c>
      <c r="AK401" s="5">
        <f t="shared" si="181"/>
        <v>0</v>
      </c>
      <c r="AL401" s="5">
        <f t="shared" si="182"/>
        <v>0</v>
      </c>
      <c r="AM401" s="5">
        <f t="shared" si="183"/>
        <v>0</v>
      </c>
      <c r="AN401" s="5">
        <f t="shared" si="184"/>
        <v>0</v>
      </c>
      <c r="AO401" s="5">
        <f t="shared" si="185"/>
        <v>0</v>
      </c>
      <c r="AP401" s="5">
        <f t="shared" si="186"/>
        <v>0</v>
      </c>
      <c r="AQ401" s="5">
        <f t="shared" si="187"/>
        <v>0</v>
      </c>
      <c r="AR401" s="5">
        <f t="shared" si="188"/>
        <v>0</v>
      </c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CB401" s="47"/>
    </row>
    <row r="402" spans="2:80" ht="15" hidden="1" outlineLevel="1" x14ac:dyDescent="0.2">
      <c r="B402" s="18">
        <f t="shared" si="194"/>
        <v>45887</v>
      </c>
      <c r="C402" s="17" t="s">
        <v>1</v>
      </c>
      <c r="D402" s="19">
        <f t="shared" si="195"/>
        <v>45893</v>
      </c>
      <c r="E402" s="20">
        <f t="shared" si="196"/>
        <v>8</v>
      </c>
      <c r="F402" s="21">
        <f t="shared" si="197"/>
        <v>2025</v>
      </c>
      <c r="G402" s="11">
        <f t="shared" si="198"/>
        <v>22</v>
      </c>
      <c r="H402" s="10">
        <f t="shared" si="198"/>
        <v>66</v>
      </c>
      <c r="I402" s="11"/>
      <c r="J402" s="11"/>
      <c r="K402" s="11"/>
      <c r="L402" s="11"/>
      <c r="M402" s="11"/>
      <c r="N402" s="11"/>
      <c r="O402" s="14"/>
      <c r="P402" s="14"/>
      <c r="Q402" s="14"/>
      <c r="R402" s="14"/>
      <c r="S402" s="14"/>
      <c r="T402" s="14"/>
      <c r="V402" s="22">
        <f t="shared" si="193"/>
        <v>0</v>
      </c>
      <c r="W402" s="22">
        <f t="shared" si="193"/>
        <v>0</v>
      </c>
      <c r="X402" s="22">
        <f t="shared" si="193"/>
        <v>0</v>
      </c>
      <c r="Y402" s="22">
        <f t="shared" si="193"/>
        <v>0</v>
      </c>
      <c r="Z402" s="22">
        <f t="shared" si="193"/>
        <v>0</v>
      </c>
      <c r="AA402" s="22">
        <f t="shared" si="193"/>
        <v>0</v>
      </c>
      <c r="AB402" s="1"/>
      <c r="AC402" s="5">
        <f t="shared" si="173"/>
        <v>0</v>
      </c>
      <c r="AD402" s="5">
        <f t="shared" si="174"/>
        <v>0</v>
      </c>
      <c r="AE402" s="5">
        <f t="shared" si="175"/>
        <v>0</v>
      </c>
      <c r="AF402" s="5">
        <f t="shared" si="176"/>
        <v>0</v>
      </c>
      <c r="AG402" s="5">
        <f t="shared" si="177"/>
        <v>0</v>
      </c>
      <c r="AH402" s="5">
        <f t="shared" si="178"/>
        <v>0</v>
      </c>
      <c r="AI402" s="5">
        <f t="shared" si="179"/>
        <v>0</v>
      </c>
      <c r="AJ402" s="5">
        <f t="shared" si="180"/>
        <v>0</v>
      </c>
      <c r="AK402" s="5">
        <f t="shared" si="181"/>
        <v>0</v>
      </c>
      <c r="AL402" s="5">
        <f t="shared" si="182"/>
        <v>0</v>
      </c>
      <c r="AM402" s="5">
        <f t="shared" si="183"/>
        <v>0</v>
      </c>
      <c r="AN402" s="5">
        <f t="shared" si="184"/>
        <v>0</v>
      </c>
      <c r="AO402" s="5">
        <f t="shared" si="185"/>
        <v>0</v>
      </c>
      <c r="AP402" s="5">
        <f t="shared" si="186"/>
        <v>0</v>
      </c>
      <c r="AQ402" s="5">
        <f t="shared" si="187"/>
        <v>0</v>
      </c>
      <c r="AR402" s="5">
        <f t="shared" si="188"/>
        <v>0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CB402" s="47"/>
    </row>
    <row r="403" spans="2:80" ht="15" hidden="1" outlineLevel="1" x14ac:dyDescent="0.2">
      <c r="B403" s="18">
        <f t="shared" si="194"/>
        <v>45894</v>
      </c>
      <c r="C403" s="17" t="s">
        <v>1</v>
      </c>
      <c r="D403" s="19">
        <f t="shared" si="195"/>
        <v>45900</v>
      </c>
      <c r="E403" s="20">
        <f t="shared" si="196"/>
        <v>8</v>
      </c>
      <c r="F403" s="21">
        <f t="shared" si="197"/>
        <v>2025</v>
      </c>
      <c r="G403" s="11">
        <f t="shared" si="198"/>
        <v>22</v>
      </c>
      <c r="H403" s="10">
        <f t="shared" si="198"/>
        <v>66</v>
      </c>
      <c r="I403" s="11"/>
      <c r="J403" s="11"/>
      <c r="K403" s="11"/>
      <c r="L403" s="11"/>
      <c r="M403" s="11"/>
      <c r="N403" s="11"/>
      <c r="O403" s="14"/>
      <c r="P403" s="14"/>
      <c r="Q403" s="14"/>
      <c r="R403" s="14"/>
      <c r="S403" s="14"/>
      <c r="T403" s="14"/>
      <c r="V403" s="22">
        <f t="shared" si="193"/>
        <v>0</v>
      </c>
      <c r="W403" s="22">
        <f t="shared" si="193"/>
        <v>0</v>
      </c>
      <c r="X403" s="22">
        <f t="shared" si="193"/>
        <v>0</v>
      </c>
      <c r="Y403" s="22">
        <f t="shared" si="193"/>
        <v>0</v>
      </c>
      <c r="Z403" s="22">
        <f t="shared" si="193"/>
        <v>0</v>
      </c>
      <c r="AA403" s="22">
        <f t="shared" si="193"/>
        <v>0</v>
      </c>
      <c r="AB403" s="1"/>
      <c r="AC403" s="5">
        <f t="shared" si="173"/>
        <v>0</v>
      </c>
      <c r="AD403" s="5">
        <f t="shared" si="174"/>
        <v>0</v>
      </c>
      <c r="AE403" s="5">
        <f t="shared" si="175"/>
        <v>0</v>
      </c>
      <c r="AF403" s="5">
        <f t="shared" si="176"/>
        <v>0</v>
      </c>
      <c r="AG403" s="5">
        <f t="shared" si="177"/>
        <v>0</v>
      </c>
      <c r="AH403" s="5">
        <f t="shared" si="178"/>
        <v>0</v>
      </c>
      <c r="AI403" s="5">
        <f t="shared" si="179"/>
        <v>0</v>
      </c>
      <c r="AJ403" s="5">
        <f t="shared" si="180"/>
        <v>0</v>
      </c>
      <c r="AK403" s="5">
        <f t="shared" si="181"/>
        <v>0</v>
      </c>
      <c r="AL403" s="5">
        <f t="shared" si="182"/>
        <v>0</v>
      </c>
      <c r="AM403" s="5">
        <f t="shared" si="183"/>
        <v>0</v>
      </c>
      <c r="AN403" s="5">
        <f t="shared" si="184"/>
        <v>0</v>
      </c>
      <c r="AO403" s="5">
        <f t="shared" si="185"/>
        <v>0</v>
      </c>
      <c r="AP403" s="5">
        <f t="shared" si="186"/>
        <v>0</v>
      </c>
      <c r="AQ403" s="5">
        <f t="shared" si="187"/>
        <v>0</v>
      </c>
      <c r="AR403" s="5">
        <f t="shared" si="188"/>
        <v>0</v>
      </c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CB403" s="47"/>
    </row>
    <row r="404" spans="2:80" ht="15" hidden="1" outlineLevel="1" x14ac:dyDescent="0.2">
      <c r="B404" s="18">
        <f t="shared" si="194"/>
        <v>45901</v>
      </c>
      <c r="C404" s="17" t="s">
        <v>1</v>
      </c>
      <c r="D404" s="19">
        <f t="shared" si="195"/>
        <v>45907</v>
      </c>
      <c r="E404" s="20">
        <f t="shared" si="196"/>
        <v>9</v>
      </c>
      <c r="F404" s="21">
        <f t="shared" si="197"/>
        <v>2025</v>
      </c>
      <c r="G404" s="11">
        <f t="shared" si="198"/>
        <v>22</v>
      </c>
      <c r="H404" s="10">
        <f t="shared" si="198"/>
        <v>66</v>
      </c>
      <c r="I404" s="11"/>
      <c r="J404" s="11"/>
      <c r="K404" s="11"/>
      <c r="L404" s="11"/>
      <c r="M404" s="11"/>
      <c r="N404" s="11"/>
      <c r="O404" s="14"/>
      <c r="P404" s="14"/>
      <c r="Q404" s="14"/>
      <c r="R404" s="14"/>
      <c r="S404" s="14"/>
      <c r="T404" s="14"/>
      <c r="V404" s="22">
        <f t="shared" ref="V404:AA419" si="199">IF(I404&gt;0,I404,IF(O404=1,$B404+2,IF(O403=1,1,IF(O403=2,0,IF(V403=$G403,0,(IF(V403&gt;=1,V403+1,0)))))))</f>
        <v>0</v>
      </c>
      <c r="W404" s="22">
        <f t="shared" si="199"/>
        <v>0</v>
      </c>
      <c r="X404" s="22">
        <f t="shared" si="199"/>
        <v>0</v>
      </c>
      <c r="Y404" s="22">
        <f t="shared" si="199"/>
        <v>0</v>
      </c>
      <c r="Z404" s="22">
        <f t="shared" si="199"/>
        <v>0</v>
      </c>
      <c r="AA404" s="22">
        <f t="shared" si="199"/>
        <v>0</v>
      </c>
      <c r="AB404" s="1"/>
      <c r="AC404" s="5">
        <f t="shared" si="173"/>
        <v>0</v>
      </c>
      <c r="AD404" s="5">
        <f t="shared" si="174"/>
        <v>0</v>
      </c>
      <c r="AE404" s="5">
        <f t="shared" si="175"/>
        <v>0</v>
      </c>
      <c r="AF404" s="5">
        <f t="shared" si="176"/>
        <v>0</v>
      </c>
      <c r="AG404" s="5">
        <f t="shared" si="177"/>
        <v>0</v>
      </c>
      <c r="AH404" s="5">
        <f t="shared" si="178"/>
        <v>0</v>
      </c>
      <c r="AI404" s="5">
        <f t="shared" si="179"/>
        <v>0</v>
      </c>
      <c r="AJ404" s="5">
        <f t="shared" si="180"/>
        <v>0</v>
      </c>
      <c r="AK404" s="5">
        <f t="shared" si="181"/>
        <v>0</v>
      </c>
      <c r="AL404" s="5">
        <f t="shared" si="182"/>
        <v>0</v>
      </c>
      <c r="AM404" s="5">
        <f t="shared" si="183"/>
        <v>0</v>
      </c>
      <c r="AN404" s="5">
        <f t="shared" si="184"/>
        <v>0</v>
      </c>
      <c r="AO404" s="5">
        <f t="shared" si="185"/>
        <v>0</v>
      </c>
      <c r="AP404" s="5">
        <f t="shared" si="186"/>
        <v>0</v>
      </c>
      <c r="AQ404" s="5">
        <f t="shared" si="187"/>
        <v>0</v>
      </c>
      <c r="AR404" s="5">
        <f t="shared" si="188"/>
        <v>0</v>
      </c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CB404" s="47"/>
    </row>
    <row r="405" spans="2:80" ht="15" hidden="1" outlineLevel="1" x14ac:dyDescent="0.2">
      <c r="B405" s="18">
        <f t="shared" si="194"/>
        <v>45908</v>
      </c>
      <c r="C405" s="17" t="s">
        <v>1</v>
      </c>
      <c r="D405" s="19">
        <f t="shared" si="195"/>
        <v>45914</v>
      </c>
      <c r="E405" s="20">
        <f t="shared" si="196"/>
        <v>9</v>
      </c>
      <c r="F405" s="21">
        <f t="shared" si="197"/>
        <v>2025</v>
      </c>
      <c r="G405" s="11">
        <f t="shared" si="198"/>
        <v>22</v>
      </c>
      <c r="H405" s="10">
        <f t="shared" si="198"/>
        <v>66</v>
      </c>
      <c r="I405" s="11"/>
      <c r="J405" s="11"/>
      <c r="K405" s="11"/>
      <c r="L405" s="11"/>
      <c r="M405" s="11"/>
      <c r="N405" s="11"/>
      <c r="O405" s="14"/>
      <c r="P405" s="14"/>
      <c r="Q405" s="14"/>
      <c r="R405" s="14"/>
      <c r="S405" s="14"/>
      <c r="T405" s="14"/>
      <c r="V405" s="22">
        <f t="shared" si="199"/>
        <v>0</v>
      </c>
      <c r="W405" s="22">
        <f t="shared" si="199"/>
        <v>0</v>
      </c>
      <c r="X405" s="22">
        <f t="shared" si="199"/>
        <v>0</v>
      </c>
      <c r="Y405" s="22">
        <f t="shared" si="199"/>
        <v>0</v>
      </c>
      <c r="Z405" s="22">
        <f t="shared" si="199"/>
        <v>0</v>
      </c>
      <c r="AA405" s="22">
        <f t="shared" si="199"/>
        <v>0</v>
      </c>
      <c r="AB405" s="1"/>
      <c r="AC405" s="5">
        <f t="shared" si="173"/>
        <v>0</v>
      </c>
      <c r="AD405" s="5">
        <f t="shared" si="174"/>
        <v>0</v>
      </c>
      <c r="AE405" s="5">
        <f t="shared" si="175"/>
        <v>0</v>
      </c>
      <c r="AF405" s="5">
        <f t="shared" si="176"/>
        <v>0</v>
      </c>
      <c r="AG405" s="5">
        <f t="shared" si="177"/>
        <v>0</v>
      </c>
      <c r="AH405" s="5">
        <f t="shared" si="178"/>
        <v>0</v>
      </c>
      <c r="AI405" s="5">
        <f t="shared" si="179"/>
        <v>0</v>
      </c>
      <c r="AJ405" s="5">
        <f t="shared" si="180"/>
        <v>0</v>
      </c>
      <c r="AK405" s="5">
        <f t="shared" si="181"/>
        <v>0</v>
      </c>
      <c r="AL405" s="5">
        <f t="shared" si="182"/>
        <v>0</v>
      </c>
      <c r="AM405" s="5">
        <f t="shared" si="183"/>
        <v>0</v>
      </c>
      <c r="AN405" s="5">
        <f t="shared" si="184"/>
        <v>0</v>
      </c>
      <c r="AO405" s="5">
        <f t="shared" si="185"/>
        <v>0</v>
      </c>
      <c r="AP405" s="5">
        <f t="shared" si="186"/>
        <v>0</v>
      </c>
      <c r="AQ405" s="5">
        <f t="shared" si="187"/>
        <v>0</v>
      </c>
      <c r="AR405" s="5">
        <f t="shared" si="188"/>
        <v>0</v>
      </c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CB405" s="47"/>
    </row>
    <row r="406" spans="2:80" ht="15" hidden="1" outlineLevel="1" x14ac:dyDescent="0.2">
      <c r="B406" s="18">
        <f t="shared" si="194"/>
        <v>45915</v>
      </c>
      <c r="C406" s="17" t="s">
        <v>1</v>
      </c>
      <c r="D406" s="19">
        <f t="shared" si="195"/>
        <v>45921</v>
      </c>
      <c r="E406" s="20">
        <f t="shared" si="196"/>
        <v>9</v>
      </c>
      <c r="F406" s="21">
        <f t="shared" si="197"/>
        <v>2025</v>
      </c>
      <c r="G406" s="11">
        <f t="shared" ref="G406:H421" si="200">G405</f>
        <v>22</v>
      </c>
      <c r="H406" s="10">
        <f t="shared" si="200"/>
        <v>66</v>
      </c>
      <c r="I406" s="11"/>
      <c r="J406" s="11"/>
      <c r="K406" s="11"/>
      <c r="L406" s="11"/>
      <c r="M406" s="11"/>
      <c r="N406" s="11"/>
      <c r="O406" s="14"/>
      <c r="P406" s="14"/>
      <c r="Q406" s="14"/>
      <c r="R406" s="14"/>
      <c r="S406" s="14"/>
      <c r="T406" s="14"/>
      <c r="V406" s="22">
        <f t="shared" si="199"/>
        <v>0</v>
      </c>
      <c r="W406" s="22">
        <f t="shared" si="199"/>
        <v>0</v>
      </c>
      <c r="X406" s="22">
        <f t="shared" si="199"/>
        <v>0</v>
      </c>
      <c r="Y406" s="22">
        <f t="shared" si="199"/>
        <v>0</v>
      </c>
      <c r="Z406" s="22">
        <f t="shared" si="199"/>
        <v>0</v>
      </c>
      <c r="AA406" s="22">
        <f t="shared" si="199"/>
        <v>0</v>
      </c>
      <c r="AB406" s="1"/>
      <c r="AC406" s="5">
        <f t="shared" si="173"/>
        <v>0</v>
      </c>
      <c r="AD406" s="5">
        <f t="shared" si="174"/>
        <v>0</v>
      </c>
      <c r="AE406" s="5">
        <f t="shared" si="175"/>
        <v>0</v>
      </c>
      <c r="AF406" s="5">
        <f t="shared" si="176"/>
        <v>0</v>
      </c>
      <c r="AG406" s="5">
        <f t="shared" si="177"/>
        <v>0</v>
      </c>
      <c r="AH406" s="5">
        <f t="shared" si="178"/>
        <v>0</v>
      </c>
      <c r="AI406" s="5">
        <f t="shared" si="179"/>
        <v>0</v>
      </c>
      <c r="AJ406" s="5">
        <f t="shared" si="180"/>
        <v>0</v>
      </c>
      <c r="AK406" s="5">
        <f t="shared" si="181"/>
        <v>0</v>
      </c>
      <c r="AL406" s="5">
        <f t="shared" si="182"/>
        <v>0</v>
      </c>
      <c r="AM406" s="5">
        <f t="shared" si="183"/>
        <v>0</v>
      </c>
      <c r="AN406" s="5">
        <f t="shared" si="184"/>
        <v>0</v>
      </c>
      <c r="AO406" s="5">
        <f t="shared" si="185"/>
        <v>0</v>
      </c>
      <c r="AP406" s="5">
        <f t="shared" si="186"/>
        <v>0</v>
      </c>
      <c r="AQ406" s="5">
        <f t="shared" si="187"/>
        <v>0</v>
      </c>
      <c r="AR406" s="5">
        <f t="shared" si="188"/>
        <v>0</v>
      </c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CB406" s="47"/>
    </row>
    <row r="407" spans="2:80" ht="15" hidden="1" outlineLevel="1" x14ac:dyDescent="0.2">
      <c r="B407" s="18">
        <f t="shared" si="194"/>
        <v>45922</v>
      </c>
      <c r="C407" s="17" t="s">
        <v>1</v>
      </c>
      <c r="D407" s="19">
        <f t="shared" si="195"/>
        <v>45928</v>
      </c>
      <c r="E407" s="20">
        <f t="shared" si="196"/>
        <v>9</v>
      </c>
      <c r="F407" s="21">
        <f t="shared" si="197"/>
        <v>2025</v>
      </c>
      <c r="G407" s="11">
        <f t="shared" si="200"/>
        <v>22</v>
      </c>
      <c r="H407" s="10">
        <f t="shared" si="200"/>
        <v>66</v>
      </c>
      <c r="I407" s="11"/>
      <c r="J407" s="11"/>
      <c r="K407" s="11"/>
      <c r="L407" s="11"/>
      <c r="M407" s="11"/>
      <c r="N407" s="11"/>
      <c r="O407" s="14"/>
      <c r="P407" s="14"/>
      <c r="Q407" s="14"/>
      <c r="R407" s="14"/>
      <c r="S407" s="14"/>
      <c r="T407" s="14"/>
      <c r="V407" s="22">
        <f t="shared" si="199"/>
        <v>0</v>
      </c>
      <c r="W407" s="22">
        <f t="shared" si="199"/>
        <v>0</v>
      </c>
      <c r="X407" s="22">
        <f t="shared" si="199"/>
        <v>0</v>
      </c>
      <c r="Y407" s="22">
        <f t="shared" si="199"/>
        <v>0</v>
      </c>
      <c r="Z407" s="22">
        <f t="shared" si="199"/>
        <v>0</v>
      </c>
      <c r="AA407" s="22">
        <f t="shared" si="199"/>
        <v>0</v>
      </c>
      <c r="AB407" s="1"/>
      <c r="AC407" s="5">
        <f t="shared" si="173"/>
        <v>0</v>
      </c>
      <c r="AD407" s="5">
        <f t="shared" si="174"/>
        <v>0</v>
      </c>
      <c r="AE407" s="5">
        <f t="shared" si="175"/>
        <v>0</v>
      </c>
      <c r="AF407" s="5">
        <f t="shared" si="176"/>
        <v>0</v>
      </c>
      <c r="AG407" s="5">
        <f t="shared" si="177"/>
        <v>0</v>
      </c>
      <c r="AH407" s="5">
        <f t="shared" si="178"/>
        <v>0</v>
      </c>
      <c r="AI407" s="5">
        <f t="shared" si="179"/>
        <v>0</v>
      </c>
      <c r="AJ407" s="5">
        <f t="shared" si="180"/>
        <v>0</v>
      </c>
      <c r="AK407" s="5">
        <f t="shared" si="181"/>
        <v>0</v>
      </c>
      <c r="AL407" s="5">
        <f t="shared" si="182"/>
        <v>0</v>
      </c>
      <c r="AM407" s="5">
        <f t="shared" si="183"/>
        <v>0</v>
      </c>
      <c r="AN407" s="5">
        <f t="shared" si="184"/>
        <v>0</v>
      </c>
      <c r="AO407" s="5">
        <f t="shared" si="185"/>
        <v>0</v>
      </c>
      <c r="AP407" s="5">
        <f t="shared" si="186"/>
        <v>0</v>
      </c>
      <c r="AQ407" s="5">
        <f t="shared" si="187"/>
        <v>0</v>
      </c>
      <c r="AR407" s="5">
        <f t="shared" si="188"/>
        <v>0</v>
      </c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CB407" s="47"/>
    </row>
    <row r="408" spans="2:80" ht="15" hidden="1" outlineLevel="1" x14ac:dyDescent="0.2">
      <c r="B408" s="18">
        <f t="shared" si="194"/>
        <v>45929</v>
      </c>
      <c r="C408" s="17" t="s">
        <v>1</v>
      </c>
      <c r="D408" s="19">
        <f t="shared" si="195"/>
        <v>45935</v>
      </c>
      <c r="E408" s="20">
        <f t="shared" si="196"/>
        <v>9</v>
      </c>
      <c r="F408" s="21">
        <f t="shared" si="197"/>
        <v>2025</v>
      </c>
      <c r="G408" s="11">
        <f t="shared" si="200"/>
        <v>22</v>
      </c>
      <c r="H408" s="10">
        <f t="shared" si="200"/>
        <v>66</v>
      </c>
      <c r="I408" s="11"/>
      <c r="J408" s="11"/>
      <c r="K408" s="11"/>
      <c r="L408" s="11"/>
      <c r="M408" s="11"/>
      <c r="N408" s="11"/>
      <c r="O408" s="14"/>
      <c r="P408" s="14"/>
      <c r="Q408" s="14"/>
      <c r="R408" s="14"/>
      <c r="S408" s="14"/>
      <c r="T408" s="14"/>
      <c r="V408" s="22">
        <f t="shared" si="199"/>
        <v>0</v>
      </c>
      <c r="W408" s="22">
        <f t="shared" si="199"/>
        <v>0</v>
      </c>
      <c r="X408" s="22">
        <f t="shared" si="199"/>
        <v>0</v>
      </c>
      <c r="Y408" s="22">
        <f t="shared" si="199"/>
        <v>0</v>
      </c>
      <c r="Z408" s="22">
        <f t="shared" si="199"/>
        <v>0</v>
      </c>
      <c r="AA408" s="22">
        <f t="shared" si="199"/>
        <v>0</v>
      </c>
      <c r="AB408" s="1"/>
      <c r="AC408" s="5">
        <f t="shared" si="173"/>
        <v>0</v>
      </c>
      <c r="AD408" s="5">
        <f t="shared" si="174"/>
        <v>0</v>
      </c>
      <c r="AE408" s="5">
        <f t="shared" si="175"/>
        <v>0</v>
      </c>
      <c r="AF408" s="5">
        <f t="shared" si="176"/>
        <v>0</v>
      </c>
      <c r="AG408" s="5">
        <f t="shared" si="177"/>
        <v>0</v>
      </c>
      <c r="AH408" s="5">
        <f t="shared" si="178"/>
        <v>0</v>
      </c>
      <c r="AI408" s="5">
        <f t="shared" si="179"/>
        <v>0</v>
      </c>
      <c r="AJ408" s="5">
        <f t="shared" si="180"/>
        <v>0</v>
      </c>
      <c r="AK408" s="5">
        <f t="shared" si="181"/>
        <v>0</v>
      </c>
      <c r="AL408" s="5">
        <f t="shared" si="182"/>
        <v>0</v>
      </c>
      <c r="AM408" s="5">
        <f t="shared" si="183"/>
        <v>0</v>
      </c>
      <c r="AN408" s="5">
        <f t="shared" si="184"/>
        <v>0</v>
      </c>
      <c r="AO408" s="5">
        <f t="shared" si="185"/>
        <v>0</v>
      </c>
      <c r="AP408" s="5">
        <f t="shared" si="186"/>
        <v>0</v>
      </c>
      <c r="AQ408" s="5">
        <f t="shared" si="187"/>
        <v>0</v>
      </c>
      <c r="AR408" s="5">
        <f t="shared" si="188"/>
        <v>0</v>
      </c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CB408" s="47"/>
    </row>
    <row r="409" spans="2:80" ht="15" hidden="1" outlineLevel="1" x14ac:dyDescent="0.2">
      <c r="B409" s="18">
        <f t="shared" si="194"/>
        <v>45936</v>
      </c>
      <c r="C409" s="17" t="s">
        <v>1</v>
      </c>
      <c r="D409" s="19">
        <f t="shared" si="195"/>
        <v>45942</v>
      </c>
      <c r="E409" s="20">
        <f t="shared" si="196"/>
        <v>10</v>
      </c>
      <c r="F409" s="21">
        <f t="shared" si="197"/>
        <v>2025</v>
      </c>
      <c r="G409" s="11">
        <f t="shared" si="200"/>
        <v>22</v>
      </c>
      <c r="H409" s="10">
        <f t="shared" si="200"/>
        <v>66</v>
      </c>
      <c r="I409" s="11"/>
      <c r="J409" s="11"/>
      <c r="K409" s="11"/>
      <c r="L409" s="11"/>
      <c r="M409" s="11"/>
      <c r="N409" s="11"/>
      <c r="O409" s="14"/>
      <c r="P409" s="14"/>
      <c r="Q409" s="14"/>
      <c r="R409" s="14"/>
      <c r="S409" s="14"/>
      <c r="T409" s="14"/>
      <c r="V409" s="22">
        <f t="shared" si="199"/>
        <v>0</v>
      </c>
      <c r="W409" s="22">
        <f t="shared" si="199"/>
        <v>0</v>
      </c>
      <c r="X409" s="22">
        <f t="shared" si="199"/>
        <v>0</v>
      </c>
      <c r="Y409" s="22">
        <f t="shared" si="199"/>
        <v>0</v>
      </c>
      <c r="Z409" s="22">
        <f t="shared" si="199"/>
        <v>0</v>
      </c>
      <c r="AA409" s="22">
        <f t="shared" si="199"/>
        <v>0</v>
      </c>
      <c r="AB409" s="1"/>
      <c r="AC409" s="5">
        <f t="shared" si="173"/>
        <v>0</v>
      </c>
      <c r="AD409" s="5">
        <f t="shared" si="174"/>
        <v>0</v>
      </c>
      <c r="AE409" s="5">
        <f t="shared" si="175"/>
        <v>0</v>
      </c>
      <c r="AF409" s="5">
        <f t="shared" si="176"/>
        <v>0</v>
      </c>
      <c r="AG409" s="5">
        <f t="shared" si="177"/>
        <v>0</v>
      </c>
      <c r="AH409" s="5">
        <f t="shared" si="178"/>
        <v>0</v>
      </c>
      <c r="AI409" s="5">
        <f t="shared" si="179"/>
        <v>0</v>
      </c>
      <c r="AJ409" s="5">
        <f t="shared" si="180"/>
        <v>0</v>
      </c>
      <c r="AK409" s="5">
        <f t="shared" si="181"/>
        <v>0</v>
      </c>
      <c r="AL409" s="5">
        <f t="shared" si="182"/>
        <v>0</v>
      </c>
      <c r="AM409" s="5">
        <f t="shared" si="183"/>
        <v>0</v>
      </c>
      <c r="AN409" s="5">
        <f t="shared" si="184"/>
        <v>0</v>
      </c>
      <c r="AO409" s="5">
        <f t="shared" si="185"/>
        <v>0</v>
      </c>
      <c r="AP409" s="5">
        <f t="shared" si="186"/>
        <v>0</v>
      </c>
      <c r="AQ409" s="5">
        <f t="shared" si="187"/>
        <v>0</v>
      </c>
      <c r="AR409" s="5">
        <f t="shared" si="188"/>
        <v>0</v>
      </c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CB409" s="47"/>
    </row>
    <row r="410" spans="2:80" ht="15" hidden="1" outlineLevel="1" x14ac:dyDescent="0.2">
      <c r="B410" s="18">
        <f t="shared" si="194"/>
        <v>45943</v>
      </c>
      <c r="C410" s="17" t="s">
        <v>1</v>
      </c>
      <c r="D410" s="19">
        <f t="shared" si="195"/>
        <v>45949</v>
      </c>
      <c r="E410" s="20">
        <f t="shared" si="196"/>
        <v>10</v>
      </c>
      <c r="F410" s="21">
        <f t="shared" si="197"/>
        <v>2025</v>
      </c>
      <c r="G410" s="11">
        <f t="shared" si="200"/>
        <v>22</v>
      </c>
      <c r="H410" s="10">
        <f t="shared" si="200"/>
        <v>66</v>
      </c>
      <c r="I410" s="11"/>
      <c r="J410" s="11"/>
      <c r="K410" s="11"/>
      <c r="L410" s="11"/>
      <c r="M410" s="11"/>
      <c r="N410" s="11"/>
      <c r="O410" s="14"/>
      <c r="P410" s="14"/>
      <c r="Q410" s="14"/>
      <c r="R410" s="14"/>
      <c r="S410" s="14"/>
      <c r="T410" s="14"/>
      <c r="V410" s="22">
        <f t="shared" si="199"/>
        <v>0</v>
      </c>
      <c r="W410" s="22">
        <f t="shared" si="199"/>
        <v>0</v>
      </c>
      <c r="X410" s="22">
        <f t="shared" si="199"/>
        <v>0</v>
      </c>
      <c r="Y410" s="22">
        <f t="shared" si="199"/>
        <v>0</v>
      </c>
      <c r="Z410" s="22">
        <f t="shared" si="199"/>
        <v>0</v>
      </c>
      <c r="AA410" s="22">
        <f t="shared" si="199"/>
        <v>0</v>
      </c>
      <c r="AB410" s="1"/>
      <c r="AC410" s="5">
        <f t="shared" si="173"/>
        <v>0</v>
      </c>
      <c r="AD410" s="5">
        <f t="shared" si="174"/>
        <v>0</v>
      </c>
      <c r="AE410" s="5">
        <f t="shared" si="175"/>
        <v>0</v>
      </c>
      <c r="AF410" s="5">
        <f t="shared" si="176"/>
        <v>0</v>
      </c>
      <c r="AG410" s="5">
        <f t="shared" si="177"/>
        <v>0</v>
      </c>
      <c r="AH410" s="5">
        <f t="shared" si="178"/>
        <v>0</v>
      </c>
      <c r="AI410" s="5">
        <f t="shared" si="179"/>
        <v>0</v>
      </c>
      <c r="AJ410" s="5">
        <f t="shared" si="180"/>
        <v>0</v>
      </c>
      <c r="AK410" s="5">
        <f t="shared" si="181"/>
        <v>0</v>
      </c>
      <c r="AL410" s="5">
        <f t="shared" si="182"/>
        <v>0</v>
      </c>
      <c r="AM410" s="5">
        <f t="shared" si="183"/>
        <v>0</v>
      </c>
      <c r="AN410" s="5">
        <f t="shared" si="184"/>
        <v>0</v>
      </c>
      <c r="AO410" s="5">
        <f t="shared" si="185"/>
        <v>0</v>
      </c>
      <c r="AP410" s="5">
        <f t="shared" si="186"/>
        <v>0</v>
      </c>
      <c r="AQ410" s="5">
        <f t="shared" si="187"/>
        <v>0</v>
      </c>
      <c r="AR410" s="5">
        <f t="shared" si="188"/>
        <v>0</v>
      </c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CB410" s="47"/>
    </row>
    <row r="411" spans="2:80" ht="15" hidden="1" outlineLevel="1" x14ac:dyDescent="0.2">
      <c r="B411" s="18">
        <f t="shared" si="194"/>
        <v>45950</v>
      </c>
      <c r="C411" s="17" t="s">
        <v>1</v>
      </c>
      <c r="D411" s="19">
        <f t="shared" si="195"/>
        <v>45956</v>
      </c>
      <c r="E411" s="20">
        <f t="shared" si="196"/>
        <v>10</v>
      </c>
      <c r="F411" s="21">
        <f t="shared" si="197"/>
        <v>2025</v>
      </c>
      <c r="G411" s="11">
        <f t="shared" si="200"/>
        <v>22</v>
      </c>
      <c r="H411" s="10">
        <f t="shared" si="200"/>
        <v>66</v>
      </c>
      <c r="I411" s="11"/>
      <c r="J411" s="11"/>
      <c r="K411" s="11"/>
      <c r="L411" s="11"/>
      <c r="M411" s="11"/>
      <c r="N411" s="11"/>
      <c r="O411" s="14"/>
      <c r="P411" s="14"/>
      <c r="Q411" s="14"/>
      <c r="R411" s="14"/>
      <c r="S411" s="14"/>
      <c r="T411" s="14"/>
      <c r="V411" s="22">
        <f t="shared" si="199"/>
        <v>0</v>
      </c>
      <c r="W411" s="22">
        <f t="shared" si="199"/>
        <v>0</v>
      </c>
      <c r="X411" s="22">
        <f t="shared" si="199"/>
        <v>0</v>
      </c>
      <c r="Y411" s="22">
        <f t="shared" si="199"/>
        <v>0</v>
      </c>
      <c r="Z411" s="22">
        <f t="shared" si="199"/>
        <v>0</v>
      </c>
      <c r="AA411" s="22">
        <f t="shared" si="199"/>
        <v>0</v>
      </c>
      <c r="AB411" s="1"/>
      <c r="AC411" s="5">
        <f t="shared" si="173"/>
        <v>0</v>
      </c>
      <c r="AD411" s="5">
        <f t="shared" si="174"/>
        <v>0</v>
      </c>
      <c r="AE411" s="5">
        <f t="shared" si="175"/>
        <v>0</v>
      </c>
      <c r="AF411" s="5">
        <f t="shared" si="176"/>
        <v>0</v>
      </c>
      <c r="AG411" s="5">
        <f t="shared" si="177"/>
        <v>0</v>
      </c>
      <c r="AH411" s="5">
        <f t="shared" si="178"/>
        <v>0</v>
      </c>
      <c r="AI411" s="5">
        <f t="shared" si="179"/>
        <v>0</v>
      </c>
      <c r="AJ411" s="5">
        <f t="shared" si="180"/>
        <v>0</v>
      </c>
      <c r="AK411" s="5">
        <f t="shared" si="181"/>
        <v>0</v>
      </c>
      <c r="AL411" s="5">
        <f t="shared" si="182"/>
        <v>0</v>
      </c>
      <c r="AM411" s="5">
        <f t="shared" si="183"/>
        <v>0</v>
      </c>
      <c r="AN411" s="5">
        <f t="shared" si="184"/>
        <v>0</v>
      </c>
      <c r="AO411" s="5">
        <f t="shared" si="185"/>
        <v>0</v>
      </c>
      <c r="AP411" s="5">
        <f t="shared" si="186"/>
        <v>0</v>
      </c>
      <c r="AQ411" s="5">
        <f t="shared" si="187"/>
        <v>0</v>
      </c>
      <c r="AR411" s="5">
        <f t="shared" si="188"/>
        <v>0</v>
      </c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CB411" s="47"/>
    </row>
    <row r="412" spans="2:80" ht="15" hidden="1" outlineLevel="1" x14ac:dyDescent="0.2">
      <c r="B412" s="18">
        <f t="shared" si="194"/>
        <v>45957</v>
      </c>
      <c r="C412" s="17" t="s">
        <v>1</v>
      </c>
      <c r="D412" s="19">
        <f t="shared" si="195"/>
        <v>45963</v>
      </c>
      <c r="E412" s="20">
        <f t="shared" si="196"/>
        <v>10</v>
      </c>
      <c r="F412" s="21">
        <f t="shared" si="197"/>
        <v>2025</v>
      </c>
      <c r="G412" s="11">
        <f t="shared" si="200"/>
        <v>22</v>
      </c>
      <c r="H412" s="10">
        <f t="shared" si="200"/>
        <v>66</v>
      </c>
      <c r="I412" s="11"/>
      <c r="J412" s="11"/>
      <c r="K412" s="11"/>
      <c r="L412" s="11"/>
      <c r="M412" s="11"/>
      <c r="N412" s="11"/>
      <c r="O412" s="14"/>
      <c r="P412" s="14"/>
      <c r="Q412" s="14"/>
      <c r="R412" s="14"/>
      <c r="S412" s="14"/>
      <c r="T412" s="14"/>
      <c r="V412" s="22">
        <f t="shared" si="199"/>
        <v>0</v>
      </c>
      <c r="W412" s="22">
        <f t="shared" si="199"/>
        <v>0</v>
      </c>
      <c r="X412" s="22">
        <f t="shared" si="199"/>
        <v>0</v>
      </c>
      <c r="Y412" s="22">
        <f t="shared" si="199"/>
        <v>0</v>
      </c>
      <c r="Z412" s="22">
        <f t="shared" si="199"/>
        <v>0</v>
      </c>
      <c r="AA412" s="22">
        <f t="shared" si="199"/>
        <v>0</v>
      </c>
      <c r="AB412" s="1"/>
      <c r="AC412" s="5">
        <f t="shared" si="173"/>
        <v>0</v>
      </c>
      <c r="AD412" s="5">
        <f t="shared" si="174"/>
        <v>0</v>
      </c>
      <c r="AE412" s="5">
        <f t="shared" si="175"/>
        <v>0</v>
      </c>
      <c r="AF412" s="5">
        <f t="shared" si="176"/>
        <v>0</v>
      </c>
      <c r="AG412" s="5">
        <f t="shared" si="177"/>
        <v>0</v>
      </c>
      <c r="AH412" s="5">
        <f t="shared" si="178"/>
        <v>0</v>
      </c>
      <c r="AI412" s="5">
        <f t="shared" si="179"/>
        <v>0</v>
      </c>
      <c r="AJ412" s="5">
        <f t="shared" si="180"/>
        <v>0</v>
      </c>
      <c r="AK412" s="5">
        <f t="shared" si="181"/>
        <v>0</v>
      </c>
      <c r="AL412" s="5">
        <f t="shared" si="182"/>
        <v>0</v>
      </c>
      <c r="AM412" s="5">
        <f t="shared" si="183"/>
        <v>0</v>
      </c>
      <c r="AN412" s="5">
        <f t="shared" si="184"/>
        <v>0</v>
      </c>
      <c r="AO412" s="5">
        <f t="shared" si="185"/>
        <v>0</v>
      </c>
      <c r="AP412" s="5">
        <f t="shared" si="186"/>
        <v>0</v>
      </c>
      <c r="AQ412" s="5">
        <f t="shared" si="187"/>
        <v>0</v>
      </c>
      <c r="AR412" s="5">
        <f t="shared" si="188"/>
        <v>0</v>
      </c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CB412" s="47"/>
    </row>
    <row r="413" spans="2:80" ht="15" hidden="1" outlineLevel="1" x14ac:dyDescent="0.2">
      <c r="B413" s="18">
        <f t="shared" si="194"/>
        <v>45964</v>
      </c>
      <c r="C413" s="17" t="s">
        <v>1</v>
      </c>
      <c r="D413" s="19">
        <f t="shared" si="195"/>
        <v>45970</v>
      </c>
      <c r="E413" s="20">
        <f t="shared" si="196"/>
        <v>11</v>
      </c>
      <c r="F413" s="21">
        <f t="shared" si="197"/>
        <v>2025</v>
      </c>
      <c r="G413" s="11">
        <f t="shared" si="200"/>
        <v>22</v>
      </c>
      <c r="H413" s="10">
        <f t="shared" si="200"/>
        <v>66</v>
      </c>
      <c r="I413" s="11"/>
      <c r="J413" s="11"/>
      <c r="K413" s="11"/>
      <c r="L413" s="11"/>
      <c r="M413" s="11"/>
      <c r="N413" s="11"/>
      <c r="O413" s="14"/>
      <c r="P413" s="14"/>
      <c r="Q413" s="14"/>
      <c r="R413" s="14"/>
      <c r="S413" s="14"/>
      <c r="T413" s="14"/>
      <c r="V413" s="22">
        <f t="shared" si="199"/>
        <v>0</v>
      </c>
      <c r="W413" s="22">
        <f t="shared" si="199"/>
        <v>0</v>
      </c>
      <c r="X413" s="22">
        <f t="shared" si="199"/>
        <v>0</v>
      </c>
      <c r="Y413" s="22">
        <f t="shared" si="199"/>
        <v>0</v>
      </c>
      <c r="Z413" s="22">
        <f t="shared" si="199"/>
        <v>0</v>
      </c>
      <c r="AA413" s="22">
        <f t="shared" si="199"/>
        <v>0</v>
      </c>
      <c r="AB413" s="1"/>
      <c r="AC413" s="5">
        <f t="shared" ref="AC413:AC419" si="201">IF(AND(AS413&gt;=$V$2,AS413&lt;=$AA$2),LOOKUP(AS413,$V$2:$AA$2,$V413:$AA413),IF(AS412="A",0,IF(AC412=$H413,0,IF(AC412=0,0,AC412+1))))</f>
        <v>0</v>
      </c>
      <c r="AD413" s="5">
        <f t="shared" ref="AD413:AD419" si="202">IF(AND(AT413&gt;=$V$2,AT413&lt;=$AA$2),LOOKUP(AT413,$V$2:$AA$2,$V413:$AA413),IF(AT412="A",0,IF(AD412=$H413,0,IF(AD412=0,0,AD412+1))))</f>
        <v>0</v>
      </c>
      <c r="AE413" s="5">
        <f t="shared" ref="AE413:AE419" si="203">IF(AND(AU413&gt;=$V$2,AU413&lt;=$AA$2),LOOKUP(AU413,$V$2:$AA$2,$V413:$AA413),IF(AU412="A",0,IF(AE412=$H413,0,IF(AE412=0,0,AE412+1))))</f>
        <v>0</v>
      </c>
      <c r="AF413" s="5">
        <f t="shared" ref="AF413:AF419" si="204">IF(AND(AV413&gt;=$V$2,AV413&lt;=$AA$2),LOOKUP(AV413,$V$2:$AA$2,$V413:$AA413),IF(AV412="A",0,IF(AF412=$H413,0,IF(AF412=0,0,AF412+1))))</f>
        <v>0</v>
      </c>
      <c r="AG413" s="5">
        <f t="shared" ref="AG413:AG419" si="205">IF(AND(AW413&gt;=$V$2,AW413&lt;=$AA$2),LOOKUP(AW413,$V$2:$AA$2,$V413:$AA413),IF(AW412="A",0,IF(AG412=$H413,0,IF(AG412=0,0,AG412+1))))</f>
        <v>0</v>
      </c>
      <c r="AH413" s="5">
        <f t="shared" ref="AH413:AH419" si="206">IF(AND(AX413&gt;=$V$2,AX413&lt;=$AA$2),LOOKUP(AX413,$V$2:$AA$2,$V413:$AA413),IF(AX412="A",0,IF(AH412=$H413,0,IF(AH412=0,0,AH412+1))))</f>
        <v>0</v>
      </c>
      <c r="AI413" s="5">
        <f t="shared" ref="AI413:AI419" si="207">IF(AND(AY413&gt;=$V$2,AY413&lt;=$AA$2),LOOKUP(AY413,$V$2:$AA$2,$V413:$AA413),IF(AY412="A",0,IF(AI412=$H413,0,IF(AI412=0,0,AI412+1))))</f>
        <v>0</v>
      </c>
      <c r="AJ413" s="5">
        <f t="shared" ref="AJ413:AJ419" si="208">IF(AND(AZ413&gt;=$V$2,AZ413&lt;=$AA$2),LOOKUP(AZ413,$V$2:$AA$2,$V413:$AA413),IF(AZ412="A",0,IF(AJ412=$H413,0,IF(AJ412=0,0,AJ412+1))))</f>
        <v>0</v>
      </c>
      <c r="AK413" s="5">
        <f t="shared" ref="AK413:AK419" si="209">IF(AND(BA413&gt;=$V$2,BA413&lt;=$AA$2),LOOKUP(BA413,$V$2:$AA$2,$V413:$AA413),IF(BA412="A",0,IF(AK412=$H413,0,IF(AK412=0,0,AK412+1))))</f>
        <v>0</v>
      </c>
      <c r="AL413" s="5">
        <f t="shared" ref="AL413:AL419" si="210">IF(AND(BB413&gt;=$V$2,BB413&lt;=$AA$2),LOOKUP(BB413,$V$2:$AA$2,$V413:$AA413),IF(BB412="A",0,IF(AL412=$H413,0,IF(AL412=0,0,AL412+1))))</f>
        <v>0</v>
      </c>
      <c r="AM413" s="5">
        <f t="shared" ref="AM413:AM419" si="211">IF(AND(BC413&gt;=$V$2,BC413&lt;=$AA$2),LOOKUP(BC413,$V$2:$AA$2,$V413:$AA413),IF(BC412="A",0,IF(AM412=$H413,0,IF(AM412=0,0,AM412+1))))</f>
        <v>0</v>
      </c>
      <c r="AN413" s="5">
        <f t="shared" ref="AN413:AN419" si="212">IF(AND(BD413&gt;=$V$2,BD413&lt;=$AA$2),LOOKUP(BD413,$V$2:$AA$2,$V413:$AA413),IF(BD412="A",0,IF(AN412=$H413,0,IF(AN412=0,0,AN412+1))))</f>
        <v>0</v>
      </c>
      <c r="AO413" s="5">
        <f t="shared" ref="AO413:AO419" si="213">IF(AND(BE413&gt;=$V$2,BE413&lt;=$AA$2),LOOKUP(BE413,$V$2:$AA$2,$V413:$AA413),IF(BE412="A",0,IF(AO412=$H413,0,IF(AO412=0,0,AO412+1))))</f>
        <v>0</v>
      </c>
      <c r="AP413" s="5">
        <f t="shared" ref="AP413:AP419" si="214">IF(AND(BF413&gt;=$V$2,BF413&lt;=$AA$2),LOOKUP(BF413,$V$2:$AA$2,$V413:$AA413),IF(BF412="A",0,IF(AP412=$H413,0,IF(AP412=0,0,AP412+1))))</f>
        <v>0</v>
      </c>
      <c r="AQ413" s="5">
        <f t="shared" ref="AQ413:AQ419" si="215">IF(AND(BG413&gt;=$V$2,BG413&lt;=$AA$2),LOOKUP(BG413,$V$2:$AA$2,$V413:$AA413),IF(BG412="A",0,IF(AQ412=$H413,0,IF(AQ412=0,0,AQ412+1))))</f>
        <v>0</v>
      </c>
      <c r="AR413" s="5">
        <f t="shared" ref="AR413:AR419" si="216">IF(AND(BH413&gt;=$V$2,BH413&lt;=$AA$2),LOOKUP(BH413,$V$2:$AA$2,$V413:$AA413),IF(BH412="A",0,IF(AR412=$H413,0,IF(AR412=0,0,AR412+1))))</f>
        <v>0</v>
      </c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CB413" s="47"/>
    </row>
    <row r="414" spans="2:80" ht="15" hidden="1" outlineLevel="1" x14ac:dyDescent="0.2">
      <c r="B414" s="18">
        <f t="shared" si="194"/>
        <v>45971</v>
      </c>
      <c r="C414" s="17" t="s">
        <v>1</v>
      </c>
      <c r="D414" s="19">
        <f t="shared" si="195"/>
        <v>45977</v>
      </c>
      <c r="E414" s="20">
        <f t="shared" si="196"/>
        <v>11</v>
      </c>
      <c r="F414" s="21">
        <f t="shared" si="197"/>
        <v>2025</v>
      </c>
      <c r="G414" s="11">
        <f t="shared" si="200"/>
        <v>22</v>
      </c>
      <c r="H414" s="10">
        <f t="shared" si="200"/>
        <v>66</v>
      </c>
      <c r="I414" s="11"/>
      <c r="J414" s="11"/>
      <c r="K414" s="11"/>
      <c r="L414" s="11"/>
      <c r="M414" s="11"/>
      <c r="N414" s="11"/>
      <c r="O414" s="14"/>
      <c r="P414" s="14"/>
      <c r="Q414" s="14"/>
      <c r="R414" s="14"/>
      <c r="S414" s="14"/>
      <c r="T414" s="14"/>
      <c r="V414" s="22">
        <f t="shared" si="199"/>
        <v>0</v>
      </c>
      <c r="W414" s="22">
        <f t="shared" si="199"/>
        <v>0</v>
      </c>
      <c r="X414" s="22">
        <f t="shared" si="199"/>
        <v>0</v>
      </c>
      <c r="Y414" s="22">
        <f t="shared" si="199"/>
        <v>0</v>
      </c>
      <c r="Z414" s="22">
        <f t="shared" si="199"/>
        <v>0</v>
      </c>
      <c r="AA414" s="22">
        <f t="shared" si="199"/>
        <v>0</v>
      </c>
      <c r="AB414" s="1"/>
      <c r="AC414" s="5">
        <f t="shared" si="201"/>
        <v>0</v>
      </c>
      <c r="AD414" s="5">
        <f t="shared" si="202"/>
        <v>0</v>
      </c>
      <c r="AE414" s="5">
        <f t="shared" si="203"/>
        <v>0</v>
      </c>
      <c r="AF414" s="5">
        <f t="shared" si="204"/>
        <v>0</v>
      </c>
      <c r="AG414" s="5">
        <f t="shared" si="205"/>
        <v>0</v>
      </c>
      <c r="AH414" s="5">
        <f t="shared" si="206"/>
        <v>0</v>
      </c>
      <c r="AI414" s="5">
        <f t="shared" si="207"/>
        <v>0</v>
      </c>
      <c r="AJ414" s="5">
        <f t="shared" si="208"/>
        <v>0</v>
      </c>
      <c r="AK414" s="5">
        <f t="shared" si="209"/>
        <v>0</v>
      </c>
      <c r="AL414" s="5">
        <f t="shared" si="210"/>
        <v>0</v>
      </c>
      <c r="AM414" s="5">
        <f t="shared" si="211"/>
        <v>0</v>
      </c>
      <c r="AN414" s="5">
        <f t="shared" si="212"/>
        <v>0</v>
      </c>
      <c r="AO414" s="5">
        <f t="shared" si="213"/>
        <v>0</v>
      </c>
      <c r="AP414" s="5">
        <f t="shared" si="214"/>
        <v>0</v>
      </c>
      <c r="AQ414" s="5">
        <f t="shared" si="215"/>
        <v>0</v>
      </c>
      <c r="AR414" s="5">
        <f t="shared" si="216"/>
        <v>0</v>
      </c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CB414" s="47"/>
    </row>
    <row r="415" spans="2:80" ht="15" hidden="1" outlineLevel="1" x14ac:dyDescent="0.2">
      <c r="B415" s="18">
        <f t="shared" si="194"/>
        <v>45978</v>
      </c>
      <c r="C415" s="17" t="s">
        <v>1</v>
      </c>
      <c r="D415" s="19">
        <f t="shared" si="195"/>
        <v>45984</v>
      </c>
      <c r="E415" s="20">
        <f t="shared" si="196"/>
        <v>11</v>
      </c>
      <c r="F415" s="21">
        <f t="shared" si="197"/>
        <v>2025</v>
      </c>
      <c r="G415" s="11">
        <f t="shared" si="200"/>
        <v>22</v>
      </c>
      <c r="H415" s="10">
        <f t="shared" si="200"/>
        <v>66</v>
      </c>
      <c r="I415" s="11"/>
      <c r="J415" s="11"/>
      <c r="K415" s="11"/>
      <c r="L415" s="11"/>
      <c r="M415" s="11"/>
      <c r="N415" s="11"/>
      <c r="O415" s="14"/>
      <c r="P415" s="14"/>
      <c r="Q415" s="14"/>
      <c r="R415" s="14"/>
      <c r="S415" s="14"/>
      <c r="T415" s="14"/>
      <c r="V415" s="22">
        <f t="shared" si="199"/>
        <v>0</v>
      </c>
      <c r="W415" s="22">
        <f t="shared" si="199"/>
        <v>0</v>
      </c>
      <c r="X415" s="22">
        <f t="shared" si="199"/>
        <v>0</v>
      </c>
      <c r="Y415" s="22">
        <f t="shared" si="199"/>
        <v>0</v>
      </c>
      <c r="Z415" s="22">
        <f t="shared" si="199"/>
        <v>0</v>
      </c>
      <c r="AA415" s="22">
        <f t="shared" si="199"/>
        <v>0</v>
      </c>
      <c r="AB415" s="1"/>
      <c r="AC415" s="5">
        <f t="shared" si="201"/>
        <v>0</v>
      </c>
      <c r="AD415" s="5">
        <f t="shared" si="202"/>
        <v>0</v>
      </c>
      <c r="AE415" s="5">
        <f t="shared" si="203"/>
        <v>0</v>
      </c>
      <c r="AF415" s="5">
        <f t="shared" si="204"/>
        <v>0</v>
      </c>
      <c r="AG415" s="5">
        <f t="shared" si="205"/>
        <v>0</v>
      </c>
      <c r="AH415" s="5">
        <f t="shared" si="206"/>
        <v>0</v>
      </c>
      <c r="AI415" s="5">
        <f t="shared" si="207"/>
        <v>0</v>
      </c>
      <c r="AJ415" s="5">
        <f t="shared" si="208"/>
        <v>0</v>
      </c>
      <c r="AK415" s="5">
        <f t="shared" si="209"/>
        <v>0</v>
      </c>
      <c r="AL415" s="5">
        <f t="shared" si="210"/>
        <v>0</v>
      </c>
      <c r="AM415" s="5">
        <f t="shared" si="211"/>
        <v>0</v>
      </c>
      <c r="AN415" s="5">
        <f t="shared" si="212"/>
        <v>0</v>
      </c>
      <c r="AO415" s="5">
        <f t="shared" si="213"/>
        <v>0</v>
      </c>
      <c r="AP415" s="5">
        <f t="shared" si="214"/>
        <v>0</v>
      </c>
      <c r="AQ415" s="5">
        <f t="shared" si="215"/>
        <v>0</v>
      </c>
      <c r="AR415" s="5">
        <f t="shared" si="216"/>
        <v>0</v>
      </c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CB415" s="47"/>
    </row>
    <row r="416" spans="2:80" ht="15" hidden="1" outlineLevel="1" x14ac:dyDescent="0.2">
      <c r="B416" s="18">
        <f t="shared" si="194"/>
        <v>45985</v>
      </c>
      <c r="C416" s="17" t="s">
        <v>1</v>
      </c>
      <c r="D416" s="19">
        <f t="shared" si="195"/>
        <v>45991</v>
      </c>
      <c r="E416" s="20">
        <f t="shared" si="196"/>
        <v>11</v>
      </c>
      <c r="F416" s="21">
        <f t="shared" si="197"/>
        <v>2025</v>
      </c>
      <c r="G416" s="11">
        <f t="shared" si="200"/>
        <v>22</v>
      </c>
      <c r="H416" s="10">
        <f t="shared" si="200"/>
        <v>66</v>
      </c>
      <c r="I416" s="11"/>
      <c r="J416" s="11"/>
      <c r="K416" s="11"/>
      <c r="L416" s="11"/>
      <c r="M416" s="11"/>
      <c r="N416" s="11"/>
      <c r="O416" s="14"/>
      <c r="P416" s="14"/>
      <c r="Q416" s="14"/>
      <c r="R416" s="14"/>
      <c r="S416" s="14"/>
      <c r="T416" s="14"/>
      <c r="V416" s="22">
        <f t="shared" si="199"/>
        <v>0</v>
      </c>
      <c r="W416" s="22">
        <f t="shared" si="199"/>
        <v>0</v>
      </c>
      <c r="X416" s="22">
        <f t="shared" si="199"/>
        <v>0</v>
      </c>
      <c r="Y416" s="22">
        <f t="shared" si="199"/>
        <v>0</v>
      </c>
      <c r="Z416" s="22">
        <f t="shared" si="199"/>
        <v>0</v>
      </c>
      <c r="AA416" s="22">
        <f t="shared" si="199"/>
        <v>0</v>
      </c>
      <c r="AB416" s="1"/>
      <c r="AC416" s="5">
        <f t="shared" si="201"/>
        <v>0</v>
      </c>
      <c r="AD416" s="5">
        <f t="shared" si="202"/>
        <v>0</v>
      </c>
      <c r="AE416" s="5">
        <f t="shared" si="203"/>
        <v>0</v>
      </c>
      <c r="AF416" s="5">
        <f t="shared" si="204"/>
        <v>0</v>
      </c>
      <c r="AG416" s="5">
        <f t="shared" si="205"/>
        <v>0</v>
      </c>
      <c r="AH416" s="5">
        <f t="shared" si="206"/>
        <v>0</v>
      </c>
      <c r="AI416" s="5">
        <f t="shared" si="207"/>
        <v>0</v>
      </c>
      <c r="AJ416" s="5">
        <f t="shared" si="208"/>
        <v>0</v>
      </c>
      <c r="AK416" s="5">
        <f t="shared" si="209"/>
        <v>0</v>
      </c>
      <c r="AL416" s="5">
        <f t="shared" si="210"/>
        <v>0</v>
      </c>
      <c r="AM416" s="5">
        <f t="shared" si="211"/>
        <v>0</v>
      </c>
      <c r="AN416" s="5">
        <f t="shared" si="212"/>
        <v>0</v>
      </c>
      <c r="AO416" s="5">
        <f t="shared" si="213"/>
        <v>0</v>
      </c>
      <c r="AP416" s="5">
        <f t="shared" si="214"/>
        <v>0</v>
      </c>
      <c r="AQ416" s="5">
        <f t="shared" si="215"/>
        <v>0</v>
      </c>
      <c r="AR416" s="5">
        <f t="shared" si="216"/>
        <v>0</v>
      </c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CB416" s="47"/>
    </row>
    <row r="417" spans="2:76" ht="15" hidden="1" outlineLevel="1" x14ac:dyDescent="0.2">
      <c r="B417" s="18">
        <f t="shared" si="194"/>
        <v>45992</v>
      </c>
      <c r="C417" s="17" t="s">
        <v>1</v>
      </c>
      <c r="D417" s="19">
        <f t="shared" si="195"/>
        <v>45998</v>
      </c>
      <c r="E417" s="20">
        <f t="shared" si="196"/>
        <v>12</v>
      </c>
      <c r="F417" s="21">
        <f t="shared" si="197"/>
        <v>2025</v>
      </c>
      <c r="G417" s="11">
        <f t="shared" si="200"/>
        <v>22</v>
      </c>
      <c r="H417" s="10">
        <f t="shared" si="200"/>
        <v>66</v>
      </c>
      <c r="I417" s="11"/>
      <c r="J417" s="11"/>
      <c r="K417" s="11"/>
      <c r="L417" s="11"/>
      <c r="M417" s="11"/>
      <c r="N417" s="11"/>
      <c r="O417" s="14"/>
      <c r="P417" s="14"/>
      <c r="Q417" s="14"/>
      <c r="R417" s="14"/>
      <c r="S417" s="14"/>
      <c r="T417" s="14"/>
      <c r="V417" s="22">
        <f t="shared" si="199"/>
        <v>0</v>
      </c>
      <c r="W417" s="22">
        <f t="shared" si="199"/>
        <v>0</v>
      </c>
      <c r="X417" s="22">
        <f t="shared" si="199"/>
        <v>0</v>
      </c>
      <c r="Y417" s="22">
        <f t="shared" si="199"/>
        <v>0</v>
      </c>
      <c r="Z417" s="22">
        <f t="shared" si="199"/>
        <v>0</v>
      </c>
      <c r="AA417" s="22">
        <f t="shared" si="199"/>
        <v>0</v>
      </c>
      <c r="AB417" s="1"/>
      <c r="AC417" s="5">
        <f t="shared" si="201"/>
        <v>0</v>
      </c>
      <c r="AD417" s="5">
        <f t="shared" si="202"/>
        <v>0</v>
      </c>
      <c r="AE417" s="5">
        <f t="shared" si="203"/>
        <v>0</v>
      </c>
      <c r="AF417" s="5">
        <f t="shared" si="204"/>
        <v>0</v>
      </c>
      <c r="AG417" s="5">
        <f t="shared" si="205"/>
        <v>0</v>
      </c>
      <c r="AH417" s="5">
        <f t="shared" si="206"/>
        <v>0</v>
      </c>
      <c r="AI417" s="5">
        <f t="shared" si="207"/>
        <v>0</v>
      </c>
      <c r="AJ417" s="5">
        <f t="shared" si="208"/>
        <v>0</v>
      </c>
      <c r="AK417" s="5">
        <f t="shared" si="209"/>
        <v>0</v>
      </c>
      <c r="AL417" s="5">
        <f t="shared" si="210"/>
        <v>0</v>
      </c>
      <c r="AM417" s="5">
        <f t="shared" si="211"/>
        <v>0</v>
      </c>
      <c r="AN417" s="5">
        <f t="shared" si="212"/>
        <v>0</v>
      </c>
      <c r="AO417" s="5">
        <f t="shared" si="213"/>
        <v>0</v>
      </c>
      <c r="AP417" s="5">
        <f t="shared" si="214"/>
        <v>0</v>
      </c>
      <c r="AQ417" s="5">
        <f t="shared" si="215"/>
        <v>0</v>
      </c>
      <c r="AR417" s="5">
        <f t="shared" si="216"/>
        <v>0</v>
      </c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</row>
    <row r="418" spans="2:76" ht="15" hidden="1" outlineLevel="1" x14ac:dyDescent="0.2">
      <c r="B418" s="18">
        <f t="shared" si="194"/>
        <v>45999</v>
      </c>
      <c r="C418" s="17" t="s">
        <v>1</v>
      </c>
      <c r="D418" s="19">
        <f t="shared" si="195"/>
        <v>46005</v>
      </c>
      <c r="E418" s="20">
        <f t="shared" si="196"/>
        <v>12</v>
      </c>
      <c r="F418" s="21">
        <f t="shared" si="197"/>
        <v>2025</v>
      </c>
      <c r="G418" s="11">
        <f t="shared" si="200"/>
        <v>22</v>
      </c>
      <c r="H418" s="10">
        <f t="shared" si="200"/>
        <v>66</v>
      </c>
      <c r="I418" s="11"/>
      <c r="J418" s="11"/>
      <c r="K418" s="11"/>
      <c r="L418" s="11"/>
      <c r="M418" s="11"/>
      <c r="N418" s="11"/>
      <c r="O418" s="14"/>
      <c r="P418" s="14"/>
      <c r="Q418" s="14"/>
      <c r="R418" s="14"/>
      <c r="S418" s="14"/>
      <c r="T418" s="14"/>
      <c r="V418" s="22">
        <f t="shared" si="199"/>
        <v>0</v>
      </c>
      <c r="W418" s="22">
        <f t="shared" si="199"/>
        <v>0</v>
      </c>
      <c r="X418" s="22">
        <f t="shared" si="199"/>
        <v>0</v>
      </c>
      <c r="Y418" s="22">
        <f t="shared" si="199"/>
        <v>0</v>
      </c>
      <c r="Z418" s="22">
        <f t="shared" si="199"/>
        <v>0</v>
      </c>
      <c r="AA418" s="22">
        <f t="shared" si="199"/>
        <v>0</v>
      </c>
      <c r="AB418" s="1"/>
      <c r="AC418" s="5">
        <f t="shared" si="201"/>
        <v>0</v>
      </c>
      <c r="AD418" s="5">
        <f t="shared" si="202"/>
        <v>0</v>
      </c>
      <c r="AE418" s="5">
        <f t="shared" si="203"/>
        <v>0</v>
      </c>
      <c r="AF418" s="5">
        <f t="shared" si="204"/>
        <v>0</v>
      </c>
      <c r="AG418" s="5">
        <f t="shared" si="205"/>
        <v>0</v>
      </c>
      <c r="AH418" s="5">
        <f t="shared" si="206"/>
        <v>0</v>
      </c>
      <c r="AI418" s="5">
        <f t="shared" si="207"/>
        <v>0</v>
      </c>
      <c r="AJ418" s="5">
        <f t="shared" si="208"/>
        <v>0</v>
      </c>
      <c r="AK418" s="5">
        <f t="shared" si="209"/>
        <v>0</v>
      </c>
      <c r="AL418" s="5">
        <f t="shared" si="210"/>
        <v>0</v>
      </c>
      <c r="AM418" s="5">
        <f t="shared" si="211"/>
        <v>0</v>
      </c>
      <c r="AN418" s="5">
        <f t="shared" si="212"/>
        <v>0</v>
      </c>
      <c r="AO418" s="5">
        <f t="shared" si="213"/>
        <v>0</v>
      </c>
      <c r="AP418" s="5">
        <f t="shared" si="214"/>
        <v>0</v>
      </c>
      <c r="AQ418" s="5">
        <f t="shared" si="215"/>
        <v>0</v>
      </c>
      <c r="AR418" s="5">
        <f t="shared" si="216"/>
        <v>0</v>
      </c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</row>
    <row r="419" spans="2:76" ht="15" hidden="1" outlineLevel="1" x14ac:dyDescent="0.2">
      <c r="B419" s="18">
        <f t="shared" si="194"/>
        <v>46006</v>
      </c>
      <c r="C419" s="17" t="s">
        <v>1</v>
      </c>
      <c r="D419" s="19">
        <f t="shared" si="195"/>
        <v>46012</v>
      </c>
      <c r="E419" s="20">
        <f t="shared" si="196"/>
        <v>12</v>
      </c>
      <c r="F419" s="21">
        <f t="shared" si="197"/>
        <v>2025</v>
      </c>
      <c r="G419" s="11">
        <f t="shared" si="200"/>
        <v>22</v>
      </c>
      <c r="H419" s="10">
        <f t="shared" si="200"/>
        <v>66</v>
      </c>
      <c r="I419" s="11"/>
      <c r="J419" s="11"/>
      <c r="K419" s="11"/>
      <c r="L419" s="11"/>
      <c r="M419" s="11"/>
      <c r="N419" s="11"/>
      <c r="O419" s="14"/>
      <c r="P419" s="14"/>
      <c r="Q419" s="14"/>
      <c r="R419" s="14"/>
      <c r="S419" s="14"/>
      <c r="T419" s="14"/>
      <c r="V419" s="22">
        <f t="shared" si="199"/>
        <v>0</v>
      </c>
      <c r="W419" s="22">
        <f t="shared" si="199"/>
        <v>0</v>
      </c>
      <c r="X419" s="22">
        <f t="shared" si="199"/>
        <v>0</v>
      </c>
      <c r="Y419" s="22">
        <f t="shared" si="199"/>
        <v>0</v>
      </c>
      <c r="Z419" s="22">
        <f t="shared" si="199"/>
        <v>0</v>
      </c>
      <c r="AA419" s="22">
        <f t="shared" si="199"/>
        <v>0</v>
      </c>
      <c r="AB419" s="1"/>
      <c r="AC419" s="5">
        <f t="shared" si="201"/>
        <v>0</v>
      </c>
      <c r="AD419" s="5">
        <f t="shared" si="202"/>
        <v>0</v>
      </c>
      <c r="AE419" s="5">
        <f t="shared" si="203"/>
        <v>0</v>
      </c>
      <c r="AF419" s="5">
        <f t="shared" si="204"/>
        <v>0</v>
      </c>
      <c r="AG419" s="5">
        <f t="shared" si="205"/>
        <v>0</v>
      </c>
      <c r="AH419" s="5">
        <f t="shared" si="206"/>
        <v>0</v>
      </c>
      <c r="AI419" s="5">
        <f t="shared" si="207"/>
        <v>0</v>
      </c>
      <c r="AJ419" s="5">
        <f t="shared" si="208"/>
        <v>0</v>
      </c>
      <c r="AK419" s="5">
        <f t="shared" si="209"/>
        <v>0</v>
      </c>
      <c r="AL419" s="5">
        <f t="shared" si="210"/>
        <v>0</v>
      </c>
      <c r="AM419" s="5">
        <f t="shared" si="211"/>
        <v>0</v>
      </c>
      <c r="AN419" s="5">
        <f t="shared" si="212"/>
        <v>0</v>
      </c>
      <c r="AO419" s="5">
        <f t="shared" si="213"/>
        <v>0</v>
      </c>
      <c r="AP419" s="5">
        <f t="shared" si="214"/>
        <v>0</v>
      </c>
      <c r="AQ419" s="5">
        <f t="shared" si="215"/>
        <v>0</v>
      </c>
      <c r="AR419" s="5">
        <f t="shared" si="216"/>
        <v>0</v>
      </c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</row>
    <row r="420" spans="2:76" ht="15" collapsed="1" x14ac:dyDescent="0.2">
      <c r="B420" s="18">
        <f t="shared" si="194"/>
        <v>46013</v>
      </c>
      <c r="C420" s="17" t="s">
        <v>1</v>
      </c>
      <c r="D420" s="19">
        <f t="shared" si="195"/>
        <v>46019</v>
      </c>
      <c r="E420" s="20">
        <f t="shared" si="196"/>
        <v>12</v>
      </c>
      <c r="F420" s="21">
        <f t="shared" si="197"/>
        <v>2025</v>
      </c>
      <c r="G420" s="11">
        <f t="shared" si="200"/>
        <v>22</v>
      </c>
      <c r="H420" s="10">
        <f t="shared" si="200"/>
        <v>66</v>
      </c>
      <c r="I420" s="11"/>
      <c r="J420" s="11"/>
      <c r="K420" s="11"/>
      <c r="L420" s="11"/>
      <c r="M420" s="11"/>
      <c r="N420" s="11"/>
      <c r="O420" s="14"/>
      <c r="P420" s="14"/>
      <c r="Q420" s="14"/>
      <c r="R420" s="14"/>
      <c r="S420" s="14"/>
      <c r="T420" s="14"/>
      <c r="V420" s="22">
        <f t="shared" ref="V420:AA421" si="217">IF(I420&gt;0,I420,IF(O420=1,$B420+2,IF(O419=1,1,IF(O419=2,0,IF(V419=$G419,0,(IF(V419&gt;=1,V419+1,0)))))))</f>
        <v>0</v>
      </c>
      <c r="W420" s="22">
        <f t="shared" si="217"/>
        <v>0</v>
      </c>
      <c r="X420" s="22">
        <f t="shared" si="217"/>
        <v>0</v>
      </c>
      <c r="Y420" s="22">
        <f t="shared" si="217"/>
        <v>0</v>
      </c>
      <c r="Z420" s="22">
        <f t="shared" si="217"/>
        <v>0</v>
      </c>
      <c r="AA420" s="22">
        <f t="shared" si="217"/>
        <v>0</v>
      </c>
      <c r="AB420" s="1"/>
      <c r="AC420" s="5">
        <f t="shared" ref="AC420:AQ421" si="218">IF(AND(AS420&gt;=$V$2,AS420&lt;=$AA$2),LOOKUP(AS420,$V$2:$AA$2,$V420:$AA420),IF(AS419="A",0,IF(AC419=$H420,0,IF(AC419=0,0,AC419+1))))</f>
        <v>0</v>
      </c>
      <c r="AD420" s="5">
        <f t="shared" si="218"/>
        <v>0</v>
      </c>
      <c r="AE420" s="5">
        <f t="shared" si="218"/>
        <v>0</v>
      </c>
      <c r="AF420" s="5">
        <f t="shared" si="218"/>
        <v>0</v>
      </c>
      <c r="AG420" s="5">
        <f t="shared" si="218"/>
        <v>0</v>
      </c>
      <c r="AH420" s="5">
        <f t="shared" si="218"/>
        <v>0</v>
      </c>
      <c r="AI420" s="5">
        <f t="shared" si="218"/>
        <v>0</v>
      </c>
      <c r="AJ420" s="5">
        <f t="shared" si="218"/>
        <v>0</v>
      </c>
      <c r="AK420" s="5">
        <f t="shared" si="218"/>
        <v>0</v>
      </c>
      <c r="AL420" s="5">
        <f t="shared" si="218"/>
        <v>0</v>
      </c>
      <c r="AM420" s="5">
        <f t="shared" si="218"/>
        <v>0</v>
      </c>
      <c r="AN420" s="5">
        <f t="shared" si="218"/>
        <v>0</v>
      </c>
      <c r="AO420" s="5">
        <f t="shared" si="218"/>
        <v>0</v>
      </c>
      <c r="AP420" s="5">
        <f t="shared" si="218"/>
        <v>0</v>
      </c>
      <c r="AQ420" s="5">
        <f t="shared" si="218"/>
        <v>0</v>
      </c>
      <c r="AR420" s="5">
        <f t="shared" ref="AR420:AR421" si="219">IF(AND(BH420&gt;=$V$2,BH420&lt;=$AA$2),LOOKUP(BH420,$V$2:$AA$2,$V420:$AA420),IF(BH419="A",0,IF(AR419=$H420,0,IF(AR419=0,0,AR419+1))))</f>
        <v>0</v>
      </c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</row>
    <row r="421" spans="2:76" ht="15" x14ac:dyDescent="0.2">
      <c r="B421" s="18">
        <f t="shared" si="194"/>
        <v>46020</v>
      </c>
      <c r="C421" s="17" t="s">
        <v>1</v>
      </c>
      <c r="D421" s="19">
        <f t="shared" si="195"/>
        <v>46026</v>
      </c>
      <c r="E421" s="20">
        <f t="shared" si="196"/>
        <v>12</v>
      </c>
      <c r="F421" s="21">
        <f t="shared" si="197"/>
        <v>2026</v>
      </c>
      <c r="G421" s="11">
        <f t="shared" si="200"/>
        <v>22</v>
      </c>
      <c r="H421" s="10">
        <f t="shared" si="200"/>
        <v>66</v>
      </c>
      <c r="I421" s="11"/>
      <c r="J421" s="11"/>
      <c r="K421" s="11"/>
      <c r="L421" s="11"/>
      <c r="M421" s="11"/>
      <c r="N421" s="11"/>
      <c r="O421" s="14"/>
      <c r="P421" s="14"/>
      <c r="Q421" s="14"/>
      <c r="R421" s="14"/>
      <c r="S421" s="14"/>
      <c r="T421" s="14"/>
      <c r="V421" s="22">
        <f t="shared" si="217"/>
        <v>0</v>
      </c>
      <c r="W421" s="22">
        <f t="shared" si="217"/>
        <v>0</v>
      </c>
      <c r="X421" s="22">
        <f t="shared" si="217"/>
        <v>0</v>
      </c>
      <c r="Y421" s="22">
        <f t="shared" si="217"/>
        <v>0</v>
      </c>
      <c r="Z421" s="22">
        <f t="shared" si="217"/>
        <v>0</v>
      </c>
      <c r="AA421" s="22">
        <f t="shared" si="217"/>
        <v>0</v>
      </c>
      <c r="AB421" s="1"/>
      <c r="AC421" s="5">
        <f t="shared" si="218"/>
        <v>0</v>
      </c>
      <c r="AD421" s="5">
        <f t="shared" si="218"/>
        <v>0</v>
      </c>
      <c r="AE421" s="5">
        <f t="shared" si="218"/>
        <v>0</v>
      </c>
      <c r="AF421" s="5">
        <f t="shared" si="218"/>
        <v>0</v>
      </c>
      <c r="AG421" s="5">
        <f t="shared" si="218"/>
        <v>0</v>
      </c>
      <c r="AH421" s="5">
        <f t="shared" si="218"/>
        <v>0</v>
      </c>
      <c r="AI421" s="5">
        <f t="shared" si="218"/>
        <v>0</v>
      </c>
      <c r="AJ421" s="5">
        <f t="shared" si="218"/>
        <v>0</v>
      </c>
      <c r="AK421" s="5">
        <f t="shared" si="218"/>
        <v>0</v>
      </c>
      <c r="AL421" s="5">
        <f t="shared" si="218"/>
        <v>0</v>
      </c>
      <c r="AM421" s="5">
        <f t="shared" si="218"/>
        <v>0</v>
      </c>
      <c r="AN421" s="5">
        <f t="shared" si="218"/>
        <v>0</v>
      </c>
      <c r="AO421" s="5">
        <f t="shared" si="218"/>
        <v>0</v>
      </c>
      <c r="AP421" s="5">
        <f t="shared" si="218"/>
        <v>0</v>
      </c>
      <c r="AQ421" s="5">
        <f t="shared" si="218"/>
        <v>0</v>
      </c>
      <c r="AR421" s="5">
        <f t="shared" si="219"/>
        <v>0</v>
      </c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</row>
    <row r="422" spans="2:76" x14ac:dyDescent="0.15"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</row>
  </sheetData>
  <mergeCells count="2">
    <mergeCell ref="B2:D2"/>
    <mergeCell ref="I1:N1"/>
  </mergeCells>
  <conditionalFormatting sqref="W4:AA421 AC3:AR421">
    <cfRule type="cellIs" dxfId="7" priority="6" operator="greaterThanOrEqual">
      <formula>1</formula>
    </cfRule>
  </conditionalFormatting>
  <conditionalFormatting sqref="V4:V421">
    <cfRule type="cellIs" dxfId="6" priority="5" operator="greaterThanOrEqual">
      <formula>1</formula>
    </cfRule>
  </conditionalFormatting>
  <conditionalFormatting sqref="W3:Y3">
    <cfRule type="cellIs" dxfId="5" priority="4" operator="greaterThanOrEqual">
      <formula>1</formula>
    </cfRule>
  </conditionalFormatting>
  <conditionalFormatting sqref="V3">
    <cfRule type="cellIs" dxfId="4" priority="3" operator="greaterThanOrEqual">
      <formula>1</formula>
    </cfRule>
  </conditionalFormatting>
  <conditionalFormatting sqref="Z4:AA421">
    <cfRule type="cellIs" dxfId="3" priority="2" operator="greaterThanOrEqual">
      <formula>1</formula>
    </cfRule>
  </conditionalFormatting>
  <conditionalFormatting sqref="Z3:AA3">
    <cfRule type="cellIs" dxfId="2" priority="1" operator="greaterThanOrEqual">
      <formula>1</formula>
    </cfRule>
  </conditionalFormatting>
  <printOptions horizontalCentered="1"/>
  <pageMargins left="0.511811024" right="0.511811024" top="0.53740157499999996" bottom="0.53740157499999996" header="0.31496062000000002" footer="0.31496062000000002"/>
  <pageSetup paperSize="9" scale="35" fitToHeight="4" orientation="portrait" horizontalDpi="0" verticalDpi="0"/>
  <headerFooter>
    <oddFooter>&amp;R&amp;"Helvetica,Regular"&amp;12&amp;K000000&amp;D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Cleber Souza Martins</cp:lastModifiedBy>
  <dcterms:created xsi:type="dcterms:W3CDTF">2018-07-27T15:05:14Z</dcterms:created>
  <dcterms:modified xsi:type="dcterms:W3CDTF">2021-10-17T15:32:19Z</dcterms:modified>
</cp:coreProperties>
</file>